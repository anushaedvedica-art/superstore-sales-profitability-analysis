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edVedica\Desktop\Project - 1\"/>
    </mc:Choice>
  </mc:AlternateContent>
  <bookViews>
    <workbookView xWindow="0" yWindow="0" windowWidth="20490" windowHeight="7650" firstSheet="4" activeTab="4"/>
  </bookViews>
  <sheets>
    <sheet name="Raw_Data" sheetId="1" r:id="rId1"/>
    <sheet name="Field_Guide" sheetId="2" r:id="rId2"/>
    <sheet name="Cleaned_Data" sheetId="4" r:id="rId3"/>
    <sheet name="Sheet10" sheetId="12" r:id="rId4"/>
    <sheet name="month" sheetId="5" r:id="rId5"/>
    <sheet name="Category" sheetId="6" r:id="rId6"/>
    <sheet name="Region" sheetId="11" r:id="rId7"/>
    <sheet name="Discount" sheetId="7" r:id="rId8"/>
    <sheet name="order status" sheetId="8" r:id="rId9"/>
    <sheet name="Customer id" sheetId="9" r:id="rId10"/>
    <sheet name="products" sheetId="13" r:id="rId11"/>
    <sheet name="Dashboard" sheetId="10" r:id="rId12"/>
  </sheets>
  <calcPr calcId="162913"/>
  <pivotCaches>
    <pivotCache cacheId="0" r:id="rId13"/>
    <pivotCache cacheId="1" r:id="rId14"/>
  </pivotCaches>
</workbook>
</file>

<file path=xl/calcChain.xml><?xml version="1.0" encoding="utf-8"?>
<calcChain xmlns="http://schemas.openxmlformats.org/spreadsheetml/2006/main">
  <c r="C16" i="5" l="1"/>
  <c r="D16" i="5" s="1"/>
  <c r="C5" i="5"/>
  <c r="C6" i="5"/>
  <c r="C7" i="5"/>
  <c r="C8" i="5"/>
  <c r="C9" i="5"/>
  <c r="C10" i="5"/>
  <c r="C11" i="5"/>
  <c r="C12" i="5"/>
  <c r="C13" i="5"/>
  <c r="C14" i="5"/>
  <c r="C15" i="5"/>
  <c r="C4" i="5"/>
  <c r="J3" i="10" l="1"/>
  <c r="L3" i="10" s="1"/>
  <c r="F3" i="10"/>
  <c r="D3" i="10"/>
  <c r="B3" i="10"/>
  <c r="H3" i="10" s="1"/>
  <c r="Q500" i="4"/>
  <c r="P500" i="4"/>
  <c r="Q499" i="4"/>
  <c r="P499" i="4"/>
  <c r="Q498" i="4"/>
  <c r="P498" i="4"/>
  <c r="Q497" i="4"/>
  <c r="P497" i="4"/>
  <c r="Q496" i="4"/>
  <c r="P496" i="4"/>
  <c r="Q495" i="4"/>
  <c r="P495" i="4"/>
  <c r="Q494" i="4"/>
  <c r="P494" i="4"/>
  <c r="Q493" i="4"/>
  <c r="P493" i="4"/>
  <c r="Q492" i="4"/>
  <c r="P492" i="4"/>
  <c r="Q491" i="4"/>
  <c r="P491" i="4"/>
  <c r="Q490" i="4"/>
  <c r="P490" i="4"/>
  <c r="Q489" i="4"/>
  <c r="P489" i="4"/>
  <c r="Q488" i="4"/>
  <c r="P488" i="4"/>
  <c r="Q487" i="4"/>
  <c r="P487" i="4"/>
  <c r="Q486" i="4"/>
  <c r="P486" i="4"/>
  <c r="Q485" i="4"/>
  <c r="P485" i="4"/>
  <c r="Q484" i="4"/>
  <c r="P484" i="4"/>
  <c r="Q483" i="4"/>
  <c r="P483" i="4"/>
  <c r="Q482" i="4"/>
  <c r="P482" i="4"/>
  <c r="Q481" i="4"/>
  <c r="P481" i="4"/>
  <c r="Q480" i="4"/>
  <c r="P480" i="4"/>
  <c r="Q479" i="4"/>
  <c r="P479" i="4"/>
  <c r="Q478" i="4"/>
  <c r="P478" i="4"/>
  <c r="Q477" i="4"/>
  <c r="P477" i="4"/>
  <c r="Q476" i="4"/>
  <c r="P476" i="4"/>
  <c r="Q475" i="4"/>
  <c r="P475" i="4"/>
  <c r="Q474" i="4"/>
  <c r="P474" i="4"/>
  <c r="Q473" i="4"/>
  <c r="P473" i="4"/>
  <c r="Q472" i="4"/>
  <c r="P472" i="4"/>
  <c r="Q471" i="4"/>
  <c r="P471" i="4"/>
  <c r="Q470" i="4"/>
  <c r="P470" i="4"/>
  <c r="Q469" i="4"/>
  <c r="P469" i="4"/>
  <c r="Q468" i="4"/>
  <c r="P468" i="4"/>
  <c r="Q467" i="4"/>
  <c r="P467" i="4"/>
  <c r="Q466" i="4"/>
  <c r="P466" i="4"/>
  <c r="Q465" i="4"/>
  <c r="P465" i="4"/>
  <c r="Q464" i="4"/>
  <c r="P464" i="4"/>
  <c r="Q463" i="4"/>
  <c r="P463" i="4"/>
  <c r="Q462" i="4"/>
  <c r="P462" i="4"/>
  <c r="Q461" i="4"/>
  <c r="P461" i="4"/>
  <c r="Q460" i="4"/>
  <c r="P460" i="4"/>
  <c r="Q459" i="4"/>
  <c r="P459" i="4"/>
  <c r="Q458" i="4"/>
  <c r="P458" i="4"/>
  <c r="Q457" i="4"/>
  <c r="P457" i="4"/>
  <c r="Q456" i="4"/>
  <c r="P456" i="4"/>
  <c r="Q455" i="4"/>
  <c r="P455" i="4"/>
  <c r="Q454" i="4"/>
  <c r="P454" i="4"/>
  <c r="Q453" i="4"/>
  <c r="P453" i="4"/>
  <c r="Q452" i="4"/>
  <c r="P452" i="4"/>
  <c r="Q451" i="4"/>
  <c r="P451" i="4"/>
  <c r="Q450" i="4"/>
  <c r="P450" i="4"/>
  <c r="Q449" i="4"/>
  <c r="P449" i="4"/>
  <c r="Q448" i="4"/>
  <c r="P448" i="4"/>
  <c r="Q447" i="4"/>
  <c r="P447" i="4"/>
  <c r="Q446" i="4"/>
  <c r="P446" i="4"/>
  <c r="Q445" i="4"/>
  <c r="P445" i="4"/>
  <c r="Q444" i="4"/>
  <c r="P444" i="4"/>
  <c r="Q443" i="4"/>
  <c r="P443" i="4"/>
  <c r="Q442" i="4"/>
  <c r="P442" i="4"/>
  <c r="Q441" i="4"/>
  <c r="P441" i="4"/>
  <c r="Q440" i="4"/>
  <c r="P440" i="4"/>
  <c r="Q439" i="4"/>
  <c r="P439" i="4"/>
  <c r="Q438" i="4"/>
  <c r="P438" i="4"/>
  <c r="Q437" i="4"/>
  <c r="P437" i="4"/>
  <c r="Q436" i="4"/>
  <c r="P436" i="4"/>
  <c r="Q435" i="4"/>
  <c r="P435" i="4"/>
  <c r="Q434" i="4"/>
  <c r="P434" i="4"/>
  <c r="Q433" i="4"/>
  <c r="P433" i="4"/>
  <c r="Q432" i="4"/>
  <c r="P432" i="4"/>
  <c r="Q431" i="4"/>
  <c r="P431" i="4"/>
  <c r="Q430" i="4"/>
  <c r="P430" i="4"/>
  <c r="Q429" i="4"/>
  <c r="P429" i="4"/>
  <c r="Q428" i="4"/>
  <c r="P428" i="4"/>
  <c r="Q427" i="4"/>
  <c r="P427" i="4"/>
  <c r="Q426" i="4"/>
  <c r="P426" i="4"/>
  <c r="Q425" i="4"/>
  <c r="P425" i="4"/>
  <c r="Q424" i="4"/>
  <c r="P424" i="4"/>
  <c r="Q423" i="4"/>
  <c r="P423" i="4"/>
  <c r="Q422" i="4"/>
  <c r="P422" i="4"/>
  <c r="Q421" i="4"/>
  <c r="P421" i="4"/>
  <c r="Q420" i="4"/>
  <c r="P420" i="4"/>
  <c r="Q419" i="4"/>
  <c r="P419" i="4"/>
  <c r="Q418" i="4"/>
  <c r="P418" i="4"/>
  <c r="Q417" i="4"/>
  <c r="P417" i="4"/>
  <c r="Q416" i="4"/>
  <c r="P416" i="4"/>
  <c r="Q415" i="4"/>
  <c r="P415" i="4"/>
  <c r="Q414" i="4"/>
  <c r="P414" i="4"/>
  <c r="Q413" i="4"/>
  <c r="P413" i="4"/>
  <c r="Q412" i="4"/>
  <c r="P412" i="4"/>
  <c r="Q411" i="4"/>
  <c r="P411" i="4"/>
  <c r="Q410" i="4"/>
  <c r="P410" i="4"/>
  <c r="Q409" i="4"/>
  <c r="P409" i="4"/>
  <c r="Q408" i="4"/>
  <c r="P408" i="4"/>
  <c r="Q407" i="4"/>
  <c r="P407" i="4"/>
  <c r="Q406" i="4"/>
  <c r="P406" i="4"/>
  <c r="Q405" i="4"/>
  <c r="P405" i="4"/>
  <c r="Q404" i="4"/>
  <c r="P404" i="4"/>
  <c r="Q403" i="4"/>
  <c r="P403" i="4"/>
  <c r="Q402" i="4"/>
  <c r="P402" i="4"/>
  <c r="Q401" i="4"/>
  <c r="P401" i="4"/>
  <c r="Q400" i="4"/>
  <c r="P400" i="4"/>
  <c r="Q399" i="4"/>
  <c r="P399" i="4"/>
  <c r="Q398" i="4"/>
  <c r="P398" i="4"/>
  <c r="Q397" i="4"/>
  <c r="P397" i="4"/>
  <c r="Q396" i="4"/>
  <c r="P396" i="4"/>
  <c r="Q395" i="4"/>
  <c r="P395" i="4"/>
  <c r="Q394" i="4"/>
  <c r="P394" i="4"/>
  <c r="Q393" i="4"/>
  <c r="P393" i="4"/>
  <c r="Q392" i="4"/>
  <c r="P392" i="4"/>
  <c r="Q391" i="4"/>
  <c r="P391" i="4"/>
  <c r="Q390" i="4"/>
  <c r="P390" i="4"/>
  <c r="Q389" i="4"/>
  <c r="P389" i="4"/>
  <c r="Q388" i="4"/>
  <c r="P388" i="4"/>
  <c r="Q387" i="4"/>
  <c r="P387" i="4"/>
  <c r="Q386" i="4"/>
  <c r="P386" i="4"/>
  <c r="Q385" i="4"/>
  <c r="P385" i="4"/>
  <c r="Q384" i="4"/>
  <c r="P384" i="4"/>
  <c r="Q383" i="4"/>
  <c r="P383" i="4"/>
  <c r="Q382" i="4"/>
  <c r="P382" i="4"/>
  <c r="Q381" i="4"/>
  <c r="P381" i="4"/>
  <c r="Q380" i="4"/>
  <c r="P380" i="4"/>
  <c r="Q379" i="4"/>
  <c r="P379" i="4"/>
  <c r="Q378" i="4"/>
  <c r="P378" i="4"/>
  <c r="Q377" i="4"/>
  <c r="P377" i="4"/>
  <c r="Q376" i="4"/>
  <c r="P376" i="4"/>
  <c r="Q375" i="4"/>
  <c r="P375" i="4"/>
  <c r="Q374" i="4"/>
  <c r="P374" i="4"/>
  <c r="Q373" i="4"/>
  <c r="P373" i="4"/>
  <c r="Q372" i="4"/>
  <c r="P372" i="4"/>
  <c r="Q371" i="4"/>
  <c r="P371" i="4"/>
  <c r="Q370" i="4"/>
  <c r="P370" i="4"/>
  <c r="Q369" i="4"/>
  <c r="P369" i="4"/>
  <c r="Q368" i="4"/>
  <c r="P368" i="4"/>
  <c r="Q367" i="4"/>
  <c r="P367" i="4"/>
  <c r="Q366" i="4"/>
  <c r="P366" i="4"/>
  <c r="Q365" i="4"/>
  <c r="P365" i="4"/>
  <c r="Q364" i="4"/>
  <c r="P364" i="4"/>
  <c r="Q363" i="4"/>
  <c r="P363" i="4"/>
  <c r="Q362" i="4"/>
  <c r="P362" i="4"/>
  <c r="Q361" i="4"/>
  <c r="P361" i="4"/>
  <c r="Q360" i="4"/>
  <c r="P360" i="4"/>
  <c r="Q359" i="4"/>
  <c r="P359" i="4"/>
  <c r="Q358" i="4"/>
  <c r="P358" i="4"/>
  <c r="Q357" i="4"/>
  <c r="P357" i="4"/>
  <c r="Q356" i="4"/>
  <c r="P356" i="4"/>
  <c r="Q355" i="4"/>
  <c r="P355" i="4"/>
  <c r="Q354" i="4"/>
  <c r="P354" i="4"/>
  <c r="Q353" i="4"/>
  <c r="P353" i="4"/>
  <c r="Q352" i="4"/>
  <c r="P352" i="4"/>
  <c r="Q351" i="4"/>
  <c r="P351" i="4"/>
  <c r="Q350" i="4"/>
  <c r="P350" i="4"/>
  <c r="Q349" i="4"/>
  <c r="P349" i="4"/>
  <c r="Q348" i="4"/>
  <c r="P348" i="4"/>
  <c r="Q347" i="4"/>
  <c r="P347" i="4"/>
  <c r="Q346" i="4"/>
  <c r="P346" i="4"/>
  <c r="Q345" i="4"/>
  <c r="P345" i="4"/>
  <c r="Q344" i="4"/>
  <c r="P344" i="4"/>
  <c r="Q343" i="4"/>
  <c r="P343" i="4"/>
  <c r="Q342" i="4"/>
  <c r="P342" i="4"/>
  <c r="Q341" i="4"/>
  <c r="P341" i="4"/>
  <c r="Q340" i="4"/>
  <c r="P340" i="4"/>
  <c r="Q339" i="4"/>
  <c r="P339" i="4"/>
  <c r="Q338" i="4"/>
  <c r="P338" i="4"/>
  <c r="Q337" i="4"/>
  <c r="P337" i="4"/>
  <c r="Q336" i="4"/>
  <c r="P336" i="4"/>
  <c r="Q335" i="4"/>
  <c r="P335" i="4"/>
  <c r="Q334" i="4"/>
  <c r="P334" i="4"/>
  <c r="Q333" i="4"/>
  <c r="P333" i="4"/>
  <c r="Q332" i="4"/>
  <c r="P332" i="4"/>
  <c r="Q331" i="4"/>
  <c r="P331" i="4"/>
  <c r="Q330" i="4"/>
  <c r="P330" i="4"/>
  <c r="Q329" i="4"/>
  <c r="P329" i="4"/>
  <c r="Q328" i="4"/>
  <c r="P328" i="4"/>
  <c r="Q327" i="4"/>
  <c r="P327" i="4"/>
  <c r="Q326" i="4"/>
  <c r="P326" i="4"/>
  <c r="Q325" i="4"/>
  <c r="P325" i="4"/>
  <c r="Q324" i="4"/>
  <c r="P324" i="4"/>
  <c r="Q323" i="4"/>
  <c r="P323" i="4"/>
  <c r="Q322" i="4"/>
  <c r="P322" i="4"/>
  <c r="Q321" i="4"/>
  <c r="P321" i="4"/>
  <c r="Q320" i="4"/>
  <c r="P320" i="4"/>
  <c r="Q319" i="4"/>
  <c r="P319" i="4"/>
  <c r="Q318" i="4"/>
  <c r="P318" i="4"/>
  <c r="Q317" i="4"/>
  <c r="P317" i="4"/>
  <c r="Q316" i="4"/>
  <c r="P316" i="4"/>
  <c r="Q315" i="4"/>
  <c r="P315" i="4"/>
  <c r="Q314" i="4"/>
  <c r="P314" i="4"/>
  <c r="Q313" i="4"/>
  <c r="P313" i="4"/>
  <c r="Q312" i="4"/>
  <c r="P312" i="4"/>
  <c r="Q311" i="4"/>
  <c r="P311" i="4"/>
  <c r="Q310" i="4"/>
  <c r="P310" i="4"/>
  <c r="Q309" i="4"/>
  <c r="P309" i="4"/>
  <c r="Q308" i="4"/>
  <c r="P308" i="4"/>
  <c r="Q307" i="4"/>
  <c r="P307" i="4"/>
  <c r="Q306" i="4"/>
  <c r="P306" i="4"/>
  <c r="Q305" i="4"/>
  <c r="P305" i="4"/>
  <c r="Q304" i="4"/>
  <c r="P304" i="4"/>
  <c r="Q303" i="4"/>
  <c r="P303" i="4"/>
  <c r="Q302" i="4"/>
  <c r="P302" i="4"/>
  <c r="Q301" i="4"/>
  <c r="P301" i="4"/>
  <c r="Q300" i="4"/>
  <c r="P300" i="4"/>
  <c r="Q299" i="4"/>
  <c r="P299" i="4"/>
  <c r="Q298" i="4"/>
  <c r="P298" i="4"/>
  <c r="Q297" i="4"/>
  <c r="P297" i="4"/>
  <c r="Q296" i="4"/>
  <c r="P296" i="4"/>
  <c r="Q295" i="4"/>
  <c r="P295" i="4"/>
  <c r="Q294" i="4"/>
  <c r="P294" i="4"/>
  <c r="Q293" i="4"/>
  <c r="P293" i="4"/>
  <c r="Q292" i="4"/>
  <c r="P292" i="4"/>
  <c r="Q291" i="4"/>
  <c r="P291" i="4"/>
  <c r="Q290" i="4"/>
  <c r="P290" i="4"/>
  <c r="Q289" i="4"/>
  <c r="P289" i="4"/>
  <c r="Q288" i="4"/>
  <c r="P288" i="4"/>
  <c r="Q287" i="4"/>
  <c r="P287" i="4"/>
  <c r="Q286" i="4"/>
  <c r="P286" i="4"/>
  <c r="Q285" i="4"/>
  <c r="P285" i="4"/>
  <c r="Q284" i="4"/>
  <c r="P284" i="4"/>
  <c r="Q283" i="4"/>
  <c r="P283" i="4"/>
  <c r="Q282" i="4"/>
  <c r="P282" i="4"/>
  <c r="Q281" i="4"/>
  <c r="P281" i="4"/>
  <c r="Q280" i="4"/>
  <c r="P280" i="4"/>
  <c r="Q279" i="4"/>
  <c r="P279" i="4"/>
  <c r="Q278" i="4"/>
  <c r="P278" i="4"/>
  <c r="Q277" i="4"/>
  <c r="P277" i="4"/>
  <c r="Q276" i="4"/>
  <c r="P276" i="4"/>
  <c r="Q275" i="4"/>
  <c r="P275" i="4"/>
  <c r="Q274" i="4"/>
  <c r="P274" i="4"/>
  <c r="Q273" i="4"/>
  <c r="P273" i="4"/>
  <c r="Q272" i="4"/>
  <c r="P272" i="4"/>
  <c r="Q271" i="4"/>
  <c r="P271" i="4"/>
  <c r="Q270" i="4"/>
  <c r="P270" i="4"/>
  <c r="Q269" i="4"/>
  <c r="P269" i="4"/>
  <c r="Q268" i="4"/>
  <c r="P268" i="4"/>
  <c r="Q267" i="4"/>
  <c r="P267" i="4"/>
  <c r="Q266" i="4"/>
  <c r="P266" i="4"/>
  <c r="Q265" i="4"/>
  <c r="P265" i="4"/>
  <c r="Q264" i="4"/>
  <c r="P264" i="4"/>
  <c r="Q263" i="4"/>
  <c r="P263" i="4"/>
  <c r="Q262" i="4"/>
  <c r="P262" i="4"/>
  <c r="Q261" i="4"/>
  <c r="P261" i="4"/>
  <c r="Q260" i="4"/>
  <c r="P260" i="4"/>
  <c r="Q259" i="4"/>
  <c r="P259" i="4"/>
  <c r="Q258" i="4"/>
  <c r="P258" i="4"/>
  <c r="Q257" i="4"/>
  <c r="P257" i="4"/>
  <c r="Q256" i="4"/>
  <c r="P256" i="4"/>
  <c r="Q255" i="4"/>
  <c r="P255" i="4"/>
  <c r="Q254" i="4"/>
  <c r="P254" i="4"/>
  <c r="Q253" i="4"/>
  <c r="P253" i="4"/>
  <c r="Q252" i="4"/>
  <c r="P252" i="4"/>
  <c r="Q251" i="4"/>
  <c r="P251" i="4"/>
  <c r="Q250" i="4"/>
  <c r="P250" i="4"/>
  <c r="Q249" i="4"/>
  <c r="P249" i="4"/>
  <c r="Q248" i="4"/>
  <c r="P248" i="4"/>
  <c r="Q247" i="4"/>
  <c r="P247" i="4"/>
  <c r="Q246" i="4"/>
  <c r="P246" i="4"/>
  <c r="Q245" i="4"/>
  <c r="P245" i="4"/>
  <c r="Q244" i="4"/>
  <c r="P244" i="4"/>
  <c r="Q243" i="4"/>
  <c r="P243" i="4"/>
  <c r="Q242" i="4"/>
  <c r="P242" i="4"/>
  <c r="Q241" i="4"/>
  <c r="P241" i="4"/>
  <c r="Q240" i="4"/>
  <c r="P240" i="4"/>
  <c r="Q239" i="4"/>
  <c r="P239" i="4"/>
  <c r="Q238" i="4"/>
  <c r="P238" i="4"/>
  <c r="Q237" i="4"/>
  <c r="P237" i="4"/>
  <c r="Q236" i="4"/>
  <c r="P236" i="4"/>
  <c r="Q235" i="4"/>
  <c r="P235" i="4"/>
  <c r="Q234" i="4"/>
  <c r="P234" i="4"/>
  <c r="Q233" i="4"/>
  <c r="P233" i="4"/>
  <c r="Q232" i="4"/>
  <c r="P232" i="4"/>
  <c r="Q231" i="4"/>
  <c r="P231" i="4"/>
  <c r="Q230" i="4"/>
  <c r="P230" i="4"/>
  <c r="Q229" i="4"/>
  <c r="P229" i="4"/>
  <c r="Q228" i="4"/>
  <c r="P228" i="4"/>
  <c r="Q227" i="4"/>
  <c r="P227" i="4"/>
  <c r="Q226" i="4"/>
  <c r="P226" i="4"/>
  <c r="Q225" i="4"/>
  <c r="P225" i="4"/>
  <c r="Q224" i="4"/>
  <c r="P224" i="4"/>
  <c r="Q223" i="4"/>
  <c r="P223" i="4"/>
  <c r="Q222" i="4"/>
  <c r="P222" i="4"/>
  <c r="Q221" i="4"/>
  <c r="P221" i="4"/>
  <c r="Q220" i="4"/>
  <c r="P220" i="4"/>
  <c r="Q219" i="4"/>
  <c r="P219" i="4"/>
  <c r="Q218" i="4"/>
  <c r="P218" i="4"/>
  <c r="Q217" i="4"/>
  <c r="P217" i="4"/>
  <c r="Q216" i="4"/>
  <c r="P216" i="4"/>
  <c r="Q215" i="4"/>
  <c r="P215" i="4"/>
  <c r="Q214" i="4"/>
  <c r="P214" i="4"/>
  <c r="Q213" i="4"/>
  <c r="P213" i="4"/>
  <c r="Q212" i="4"/>
  <c r="P212" i="4"/>
  <c r="Q211" i="4"/>
  <c r="P211" i="4"/>
  <c r="Q210" i="4"/>
  <c r="P210" i="4"/>
  <c r="Q209" i="4"/>
  <c r="P209" i="4"/>
  <c r="Q208" i="4"/>
  <c r="P208" i="4"/>
  <c r="Q207" i="4"/>
  <c r="P207" i="4"/>
  <c r="Q206" i="4"/>
  <c r="P206" i="4"/>
  <c r="Q205" i="4"/>
  <c r="P205" i="4"/>
  <c r="Q204" i="4"/>
  <c r="P204" i="4"/>
  <c r="Q203" i="4"/>
  <c r="P203" i="4"/>
  <c r="Q202" i="4"/>
  <c r="P202" i="4"/>
  <c r="Q201" i="4"/>
  <c r="P201" i="4"/>
  <c r="Q200" i="4"/>
  <c r="P200" i="4"/>
  <c r="Q199" i="4"/>
  <c r="P199" i="4"/>
  <c r="Q198" i="4"/>
  <c r="P198" i="4"/>
  <c r="Q197" i="4"/>
  <c r="P197" i="4"/>
  <c r="Q196" i="4"/>
  <c r="P196" i="4"/>
  <c r="Q195" i="4"/>
  <c r="P195" i="4"/>
  <c r="Q194" i="4"/>
  <c r="P194" i="4"/>
  <c r="Q193" i="4"/>
  <c r="P193" i="4"/>
  <c r="Q192" i="4"/>
  <c r="P192" i="4"/>
  <c r="Q191" i="4"/>
  <c r="P191" i="4"/>
  <c r="Q190" i="4"/>
  <c r="P190" i="4"/>
  <c r="Q189" i="4"/>
  <c r="P189" i="4"/>
  <c r="Q188" i="4"/>
  <c r="P188" i="4"/>
  <c r="Q187" i="4"/>
  <c r="P187" i="4"/>
  <c r="Q186" i="4"/>
  <c r="P186" i="4"/>
  <c r="Q185" i="4"/>
  <c r="P185" i="4"/>
  <c r="Q184" i="4"/>
  <c r="P184" i="4"/>
  <c r="Q183" i="4"/>
  <c r="P183" i="4"/>
  <c r="Q182" i="4"/>
  <c r="P182" i="4"/>
  <c r="Q181" i="4"/>
  <c r="P181" i="4"/>
  <c r="Q180" i="4"/>
  <c r="P180" i="4"/>
  <c r="Q179" i="4"/>
  <c r="P179" i="4"/>
  <c r="Q178" i="4"/>
  <c r="P178" i="4"/>
  <c r="Q177" i="4"/>
  <c r="P177" i="4"/>
  <c r="Q176" i="4"/>
  <c r="P176" i="4"/>
  <c r="Q175" i="4"/>
  <c r="P175" i="4"/>
  <c r="Q174" i="4"/>
  <c r="P174" i="4"/>
  <c r="Q173" i="4"/>
  <c r="P173" i="4"/>
  <c r="Q172" i="4"/>
  <c r="P172" i="4"/>
  <c r="Q171" i="4"/>
  <c r="P171" i="4"/>
  <c r="Q170" i="4"/>
  <c r="P170" i="4"/>
  <c r="Q169" i="4"/>
  <c r="P169" i="4"/>
  <c r="Q168" i="4"/>
  <c r="P168" i="4"/>
  <c r="Q167" i="4"/>
  <c r="P167" i="4"/>
  <c r="Q166" i="4"/>
  <c r="P166" i="4"/>
  <c r="Q165" i="4"/>
  <c r="P165" i="4"/>
  <c r="Q164" i="4"/>
  <c r="P164" i="4"/>
  <c r="Q163" i="4"/>
  <c r="P163" i="4"/>
  <c r="Q162" i="4"/>
  <c r="P162" i="4"/>
  <c r="Q161" i="4"/>
  <c r="P161" i="4"/>
  <c r="Q160" i="4"/>
  <c r="P160" i="4"/>
  <c r="Q159" i="4"/>
  <c r="P159" i="4"/>
  <c r="Q158" i="4"/>
  <c r="P158" i="4"/>
  <c r="Q157" i="4"/>
  <c r="P157" i="4"/>
  <c r="Q156" i="4"/>
  <c r="P156" i="4"/>
  <c r="Q155" i="4"/>
  <c r="P155" i="4"/>
  <c r="Q154" i="4"/>
  <c r="P154" i="4"/>
  <c r="Q153" i="4"/>
  <c r="P153" i="4"/>
  <c r="Q152" i="4"/>
  <c r="P152" i="4"/>
  <c r="Q151" i="4"/>
  <c r="P151" i="4"/>
  <c r="Q150" i="4"/>
  <c r="P150" i="4"/>
  <c r="Q149" i="4"/>
  <c r="P149" i="4"/>
  <c r="Q148" i="4"/>
  <c r="P148" i="4"/>
  <c r="Q147" i="4"/>
  <c r="P147" i="4"/>
  <c r="Q146" i="4"/>
  <c r="P146" i="4"/>
  <c r="Q145" i="4"/>
  <c r="P145" i="4"/>
  <c r="Q144" i="4"/>
  <c r="P144" i="4"/>
  <c r="Q143" i="4"/>
  <c r="P143" i="4"/>
  <c r="Q142" i="4"/>
  <c r="P142" i="4"/>
  <c r="Q141" i="4"/>
  <c r="P141" i="4"/>
  <c r="Q140" i="4"/>
  <c r="P140" i="4"/>
  <c r="Q139" i="4"/>
  <c r="P139" i="4"/>
  <c r="Q138" i="4"/>
  <c r="P138" i="4"/>
  <c r="Q137" i="4"/>
  <c r="P137" i="4"/>
  <c r="Q136" i="4"/>
  <c r="P136" i="4"/>
  <c r="Q135" i="4"/>
  <c r="P135" i="4"/>
  <c r="Q134" i="4"/>
  <c r="P134" i="4"/>
  <c r="Q133" i="4"/>
  <c r="P133" i="4"/>
  <c r="Q132" i="4"/>
  <c r="P132" i="4"/>
  <c r="Q131" i="4"/>
  <c r="P131" i="4"/>
  <c r="Q130" i="4"/>
  <c r="P130" i="4"/>
  <c r="Q129" i="4"/>
  <c r="P129" i="4"/>
  <c r="Q128" i="4"/>
  <c r="P128" i="4"/>
  <c r="Q127" i="4"/>
  <c r="P127" i="4"/>
  <c r="Q126" i="4"/>
  <c r="P126" i="4"/>
  <c r="Q125" i="4"/>
  <c r="P125" i="4"/>
  <c r="Q124" i="4"/>
  <c r="P124" i="4"/>
  <c r="Q123" i="4"/>
  <c r="P123" i="4"/>
  <c r="Q122" i="4"/>
  <c r="P122" i="4"/>
  <c r="Q121" i="4"/>
  <c r="P121" i="4"/>
  <c r="Q120" i="4"/>
  <c r="P120" i="4"/>
  <c r="Q119" i="4"/>
  <c r="P119" i="4"/>
  <c r="Q118" i="4"/>
  <c r="P118" i="4"/>
  <c r="Q117" i="4"/>
  <c r="P117" i="4"/>
  <c r="Q116" i="4"/>
  <c r="P116" i="4"/>
  <c r="Q115" i="4"/>
  <c r="P115" i="4"/>
  <c r="Q114" i="4"/>
  <c r="P114" i="4"/>
  <c r="Q113" i="4"/>
  <c r="P113" i="4"/>
  <c r="Q112" i="4"/>
  <c r="P112" i="4"/>
  <c r="Q111" i="4"/>
  <c r="P111" i="4"/>
  <c r="Q110" i="4"/>
  <c r="P110" i="4"/>
  <c r="Q109" i="4"/>
  <c r="P109" i="4"/>
  <c r="Q108" i="4"/>
  <c r="P108" i="4"/>
  <c r="Q107" i="4"/>
  <c r="P107" i="4"/>
  <c r="Q106" i="4"/>
  <c r="P106" i="4"/>
  <c r="Q105" i="4"/>
  <c r="P105" i="4"/>
  <c r="Q104" i="4"/>
  <c r="P104" i="4"/>
  <c r="Q103" i="4"/>
  <c r="P103" i="4"/>
  <c r="Q102" i="4"/>
  <c r="P102" i="4"/>
  <c r="Q101" i="4"/>
  <c r="P101" i="4"/>
  <c r="Q100" i="4"/>
  <c r="P100" i="4"/>
  <c r="Q99" i="4"/>
  <c r="P99" i="4"/>
  <c r="Q98" i="4"/>
  <c r="P98" i="4"/>
  <c r="Q97" i="4"/>
  <c r="P97" i="4"/>
  <c r="Q96" i="4"/>
  <c r="P96" i="4"/>
  <c r="Q95" i="4"/>
  <c r="P95" i="4"/>
  <c r="Q94" i="4"/>
  <c r="P94" i="4"/>
  <c r="Q93" i="4"/>
  <c r="P93" i="4"/>
  <c r="Q92" i="4"/>
  <c r="P92" i="4"/>
  <c r="Q91" i="4"/>
  <c r="P91" i="4"/>
  <c r="Q90" i="4"/>
  <c r="P90" i="4"/>
  <c r="Q89" i="4"/>
  <c r="P89" i="4"/>
  <c r="Q88" i="4"/>
  <c r="P88" i="4"/>
  <c r="Q87" i="4"/>
  <c r="P87" i="4"/>
  <c r="Q86" i="4"/>
  <c r="P86" i="4"/>
  <c r="Q85" i="4"/>
  <c r="P85" i="4"/>
  <c r="Q84" i="4"/>
  <c r="P84" i="4"/>
  <c r="Q83" i="4"/>
  <c r="P83" i="4"/>
  <c r="Q82" i="4"/>
  <c r="P82" i="4"/>
  <c r="Q81" i="4"/>
  <c r="P81" i="4"/>
  <c r="Q80" i="4"/>
  <c r="P80" i="4"/>
  <c r="Q79" i="4"/>
  <c r="P79" i="4"/>
  <c r="Q78" i="4"/>
  <c r="P78" i="4"/>
  <c r="Q77" i="4"/>
  <c r="P77" i="4"/>
  <c r="Q76" i="4"/>
  <c r="P76" i="4"/>
  <c r="Q75" i="4"/>
  <c r="P75" i="4"/>
  <c r="Q74" i="4"/>
  <c r="P74" i="4"/>
  <c r="Q73" i="4"/>
  <c r="P73" i="4"/>
  <c r="Q72" i="4"/>
  <c r="P72" i="4"/>
  <c r="Q71" i="4"/>
  <c r="P71" i="4"/>
  <c r="Q70" i="4"/>
  <c r="P70" i="4"/>
  <c r="Q69" i="4"/>
  <c r="P69" i="4"/>
  <c r="Q68" i="4"/>
  <c r="P68" i="4"/>
  <c r="Q67" i="4"/>
  <c r="P67" i="4"/>
  <c r="Q66" i="4"/>
  <c r="P66" i="4"/>
  <c r="Q65" i="4"/>
  <c r="P65" i="4"/>
  <c r="Q64" i="4"/>
  <c r="P64" i="4"/>
  <c r="Q63" i="4"/>
  <c r="P63" i="4"/>
  <c r="Q62" i="4"/>
  <c r="P62" i="4"/>
  <c r="Q61" i="4"/>
  <c r="P61" i="4"/>
  <c r="Q60" i="4"/>
  <c r="P60" i="4"/>
  <c r="Q59" i="4"/>
  <c r="P59" i="4"/>
  <c r="Q58" i="4"/>
  <c r="P58" i="4"/>
  <c r="Q57" i="4"/>
  <c r="P57" i="4"/>
  <c r="Q56" i="4"/>
  <c r="P56" i="4"/>
  <c r="Q55" i="4"/>
  <c r="P55" i="4"/>
  <c r="Q54" i="4"/>
  <c r="P54" i="4"/>
  <c r="Q53" i="4"/>
  <c r="P53" i="4"/>
  <c r="Q52" i="4"/>
  <c r="P52" i="4"/>
  <c r="Q51" i="4"/>
  <c r="P51" i="4"/>
  <c r="Q50" i="4"/>
  <c r="P50" i="4"/>
  <c r="Q49" i="4"/>
  <c r="P49" i="4"/>
  <c r="Q48" i="4"/>
  <c r="P48" i="4"/>
  <c r="Q47" i="4"/>
  <c r="P47" i="4"/>
  <c r="Q46" i="4"/>
  <c r="P46" i="4"/>
  <c r="Q45" i="4"/>
  <c r="P45" i="4"/>
  <c r="Q44" i="4"/>
  <c r="P44" i="4"/>
  <c r="Q43" i="4"/>
  <c r="P43" i="4"/>
  <c r="Q42" i="4"/>
  <c r="P42" i="4"/>
  <c r="Q41" i="4"/>
  <c r="P41" i="4"/>
  <c r="Q40" i="4"/>
  <c r="P40" i="4"/>
  <c r="Q39" i="4"/>
  <c r="P39" i="4"/>
  <c r="Q38" i="4"/>
  <c r="P38" i="4"/>
  <c r="Q37" i="4"/>
  <c r="P37" i="4"/>
  <c r="Q36" i="4"/>
  <c r="P36" i="4"/>
  <c r="Q35" i="4"/>
  <c r="P35" i="4"/>
  <c r="Q34" i="4"/>
  <c r="P34" i="4"/>
  <c r="Q33" i="4"/>
  <c r="P33" i="4"/>
  <c r="Q32" i="4"/>
  <c r="P32" i="4"/>
  <c r="Q31" i="4"/>
  <c r="P31" i="4"/>
  <c r="Q30" i="4"/>
  <c r="P30" i="4"/>
  <c r="Q29" i="4"/>
  <c r="P29" i="4"/>
  <c r="Q28" i="4"/>
  <c r="P28" i="4"/>
  <c r="Q27" i="4"/>
  <c r="P27" i="4"/>
  <c r="Q26" i="4"/>
  <c r="P26" i="4"/>
  <c r="Q25" i="4"/>
  <c r="P25" i="4"/>
  <c r="Q24" i="4"/>
  <c r="P24" i="4"/>
  <c r="Q23" i="4"/>
  <c r="P23" i="4"/>
  <c r="W22" i="4"/>
  <c r="V22" i="4"/>
  <c r="U22" i="4"/>
  <c r="T22" i="4"/>
  <c r="Q22" i="4"/>
  <c r="P22" i="4"/>
  <c r="W21" i="4"/>
  <c r="V21" i="4"/>
  <c r="U21" i="4"/>
  <c r="T21" i="4"/>
  <c r="Q21" i="4"/>
  <c r="P21" i="4"/>
  <c r="W20" i="4"/>
  <c r="V20" i="4"/>
  <c r="U20" i="4"/>
  <c r="T20" i="4"/>
  <c r="Q20" i="4"/>
  <c r="P20" i="4"/>
  <c r="W19" i="4"/>
  <c r="V19" i="4"/>
  <c r="U19" i="4"/>
  <c r="T19" i="4"/>
  <c r="Q19" i="4"/>
  <c r="P19" i="4"/>
  <c r="W18" i="4"/>
  <c r="V18" i="4"/>
  <c r="U18" i="4"/>
  <c r="T18" i="4"/>
  <c r="Q18" i="4"/>
  <c r="P18" i="4"/>
  <c r="W17" i="4"/>
  <c r="V17" i="4"/>
  <c r="U17" i="4"/>
  <c r="T17" i="4"/>
  <c r="Q17" i="4"/>
  <c r="P17" i="4"/>
  <c r="W16" i="4"/>
  <c r="V16" i="4"/>
  <c r="U16" i="4"/>
  <c r="T16" i="4"/>
  <c r="Q16" i="4"/>
  <c r="P16" i="4"/>
  <c r="W15" i="4"/>
  <c r="V15" i="4"/>
  <c r="U15" i="4"/>
  <c r="T15" i="4"/>
  <c r="Q15" i="4"/>
  <c r="P15" i="4"/>
  <c r="W14" i="4"/>
  <c r="V14" i="4"/>
  <c r="U14" i="4"/>
  <c r="T14" i="4"/>
  <c r="Q14" i="4"/>
  <c r="P14" i="4"/>
  <c r="W13" i="4"/>
  <c r="V13" i="4"/>
  <c r="U13" i="4"/>
  <c r="T13" i="4"/>
  <c r="Q13" i="4"/>
  <c r="P13" i="4"/>
  <c r="W12" i="4"/>
  <c r="V12" i="4"/>
  <c r="U12" i="4"/>
  <c r="T12" i="4"/>
  <c r="Q12" i="4"/>
  <c r="P12" i="4"/>
  <c r="Y11" i="4"/>
  <c r="W11" i="4"/>
  <c r="V11" i="4"/>
  <c r="U11" i="4"/>
  <c r="T11" i="4"/>
  <c r="Q11" i="4"/>
  <c r="P11" i="4"/>
  <c r="Y10" i="4"/>
  <c r="W10" i="4"/>
  <c r="V10" i="4"/>
  <c r="U10" i="4"/>
  <c r="T10" i="4"/>
  <c r="Q10" i="4"/>
  <c r="P10" i="4"/>
  <c r="Y9" i="4"/>
  <c r="W9" i="4"/>
  <c r="V9" i="4"/>
  <c r="U9" i="4"/>
  <c r="T9" i="4"/>
  <c r="Q9" i="4"/>
  <c r="P9" i="4"/>
  <c r="W8" i="4"/>
  <c r="V8" i="4"/>
  <c r="U8" i="4"/>
  <c r="T8" i="4"/>
  <c r="Q8" i="4"/>
  <c r="P8" i="4"/>
  <c r="W7" i="4"/>
  <c r="V7" i="4"/>
  <c r="U7" i="4"/>
  <c r="T7" i="4"/>
  <c r="Q7" i="4"/>
  <c r="P7" i="4"/>
  <c r="Q6" i="4"/>
  <c r="P6" i="4"/>
  <c r="Q5" i="4"/>
  <c r="P5" i="4"/>
  <c r="Q4" i="4"/>
  <c r="P4" i="4"/>
  <c r="Q3" i="4"/>
  <c r="P3" i="4"/>
  <c r="Q2" i="4"/>
  <c r="P2" i="4"/>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6" i="8"/>
  <c r="E5" i="8"/>
  <c r="E4" i="8"/>
  <c r="E9" i="7"/>
  <c r="E8" i="7"/>
  <c r="E7" i="7"/>
  <c r="E6" i="7"/>
  <c r="E5" i="7"/>
  <c r="E4" i="7"/>
  <c r="E8" i="6"/>
  <c r="E7" i="6"/>
  <c r="E6" i="6"/>
  <c r="E5" i="6"/>
  <c r="E4" i="6"/>
  <c r="D15" i="5"/>
  <c r="D14" i="5"/>
  <c r="D13" i="5"/>
  <c r="D12" i="5"/>
  <c r="D11" i="5"/>
  <c r="D10" i="5"/>
  <c r="D9" i="5"/>
  <c r="D8" i="5"/>
  <c r="D7" i="5"/>
  <c r="D6" i="5"/>
  <c r="D5" i="5"/>
  <c r="D4" i="5"/>
  <c r="O503" i="1"/>
  <c r="N503" i="1"/>
  <c r="O502" i="1"/>
  <c r="N502" i="1"/>
  <c r="O501" i="1"/>
  <c r="N501" i="1"/>
  <c r="O500" i="1"/>
  <c r="N500" i="1"/>
  <c r="O499" i="1"/>
  <c r="N499" i="1"/>
  <c r="O498" i="1"/>
  <c r="N498" i="1"/>
  <c r="O497" i="1"/>
  <c r="N497" i="1"/>
  <c r="O496" i="1"/>
  <c r="N496" i="1"/>
  <c r="O495" i="1"/>
  <c r="N495" i="1"/>
  <c r="O494" i="1"/>
  <c r="N494" i="1"/>
  <c r="O493" i="1"/>
  <c r="N493" i="1"/>
  <c r="O492" i="1"/>
  <c r="N492" i="1"/>
  <c r="O491" i="1"/>
  <c r="N491" i="1"/>
  <c r="O490" i="1"/>
  <c r="N490" i="1"/>
  <c r="O489" i="1"/>
  <c r="N489" i="1"/>
  <c r="O488" i="1"/>
  <c r="N488" i="1"/>
  <c r="O487" i="1"/>
  <c r="N487" i="1"/>
  <c r="O486" i="1"/>
  <c r="N486" i="1"/>
  <c r="O485" i="1"/>
  <c r="N485" i="1"/>
  <c r="O484" i="1"/>
  <c r="N484" i="1"/>
  <c r="O483" i="1"/>
  <c r="N483" i="1"/>
  <c r="O482" i="1"/>
  <c r="N482" i="1"/>
  <c r="O481" i="1"/>
  <c r="N481" i="1"/>
  <c r="O480" i="1"/>
  <c r="N480" i="1"/>
  <c r="O479" i="1"/>
  <c r="N479" i="1"/>
  <c r="O478" i="1"/>
  <c r="N478" i="1"/>
  <c r="O477" i="1"/>
  <c r="N477" i="1"/>
  <c r="O476" i="1"/>
  <c r="N476" i="1"/>
  <c r="O475" i="1"/>
  <c r="N475" i="1"/>
  <c r="O474" i="1"/>
  <c r="N474" i="1"/>
  <c r="O473" i="1"/>
  <c r="N473" i="1"/>
  <c r="O472" i="1"/>
  <c r="N472" i="1"/>
  <c r="O471" i="1"/>
  <c r="N471" i="1"/>
  <c r="O470" i="1"/>
  <c r="N470" i="1"/>
  <c r="O469" i="1"/>
  <c r="N469" i="1"/>
  <c r="O468" i="1"/>
  <c r="N468" i="1"/>
  <c r="O467" i="1"/>
  <c r="N467" i="1"/>
  <c r="O466" i="1"/>
  <c r="N466" i="1"/>
  <c r="O465" i="1"/>
  <c r="N465" i="1"/>
  <c r="O464" i="1"/>
  <c r="N464" i="1"/>
  <c r="O463" i="1"/>
  <c r="N463" i="1"/>
  <c r="O462" i="1"/>
  <c r="N462" i="1"/>
  <c r="O461" i="1"/>
  <c r="N461" i="1"/>
  <c r="O460" i="1"/>
  <c r="N460" i="1"/>
  <c r="O459" i="1"/>
  <c r="N459" i="1"/>
  <c r="O458" i="1"/>
  <c r="N458" i="1"/>
  <c r="O457" i="1"/>
  <c r="N457" i="1"/>
  <c r="O456" i="1"/>
  <c r="N456" i="1"/>
  <c r="O455" i="1"/>
  <c r="N455" i="1"/>
  <c r="O454" i="1"/>
  <c r="N454" i="1"/>
  <c r="O453" i="1"/>
  <c r="N453" i="1"/>
  <c r="O452" i="1"/>
  <c r="N452" i="1"/>
  <c r="O451" i="1"/>
  <c r="N451" i="1"/>
  <c r="O450" i="1"/>
  <c r="N450" i="1"/>
  <c r="O449" i="1"/>
  <c r="N449" i="1"/>
  <c r="O448" i="1"/>
  <c r="N448" i="1"/>
  <c r="O447" i="1"/>
  <c r="N447" i="1"/>
  <c r="O446" i="1"/>
  <c r="N446" i="1"/>
  <c r="O445" i="1"/>
  <c r="N445" i="1"/>
  <c r="O444" i="1"/>
  <c r="N444" i="1"/>
  <c r="O443" i="1"/>
  <c r="N443" i="1"/>
  <c r="O442" i="1"/>
  <c r="N442" i="1"/>
  <c r="O441" i="1"/>
  <c r="N441" i="1"/>
  <c r="O440" i="1"/>
  <c r="N440" i="1"/>
  <c r="O439" i="1"/>
  <c r="N439" i="1"/>
  <c r="O438" i="1"/>
  <c r="N438" i="1"/>
  <c r="O437" i="1"/>
  <c r="N437" i="1"/>
  <c r="O436" i="1"/>
  <c r="N436" i="1"/>
  <c r="O435" i="1"/>
  <c r="N435" i="1"/>
  <c r="O434" i="1"/>
  <c r="N434" i="1"/>
  <c r="O433" i="1"/>
  <c r="N433" i="1"/>
  <c r="O432" i="1"/>
  <c r="N432" i="1"/>
  <c r="O431" i="1"/>
  <c r="N431" i="1"/>
  <c r="O430" i="1"/>
  <c r="N430" i="1"/>
  <c r="O429" i="1"/>
  <c r="N429" i="1"/>
  <c r="O428" i="1"/>
  <c r="N428" i="1"/>
  <c r="O427" i="1"/>
  <c r="N427" i="1"/>
  <c r="O426" i="1"/>
  <c r="N426" i="1"/>
  <c r="O425" i="1"/>
  <c r="N425" i="1"/>
  <c r="O424" i="1"/>
  <c r="N424" i="1"/>
  <c r="O423" i="1"/>
  <c r="N423" i="1"/>
  <c r="O422" i="1"/>
  <c r="N422" i="1"/>
  <c r="O421" i="1"/>
  <c r="N421" i="1"/>
  <c r="O420" i="1"/>
  <c r="N420" i="1"/>
  <c r="O419" i="1"/>
  <c r="N419" i="1"/>
  <c r="O418" i="1"/>
  <c r="N418" i="1"/>
  <c r="O417" i="1"/>
  <c r="N417" i="1"/>
  <c r="O416" i="1"/>
  <c r="N416" i="1"/>
  <c r="O415" i="1"/>
  <c r="N415" i="1"/>
  <c r="O414" i="1"/>
  <c r="N414" i="1"/>
  <c r="O413" i="1"/>
  <c r="N413" i="1"/>
  <c r="O412" i="1"/>
  <c r="N412" i="1"/>
  <c r="O411" i="1"/>
  <c r="N411" i="1"/>
  <c r="O410" i="1"/>
  <c r="N410" i="1"/>
  <c r="O409" i="1"/>
  <c r="N409" i="1"/>
  <c r="O408" i="1"/>
  <c r="N408" i="1"/>
  <c r="O407" i="1"/>
  <c r="N407" i="1"/>
  <c r="O406" i="1"/>
  <c r="N406" i="1"/>
  <c r="O405" i="1"/>
  <c r="N405" i="1"/>
  <c r="O404" i="1"/>
  <c r="N404" i="1"/>
  <c r="O403" i="1"/>
  <c r="N403" i="1"/>
  <c r="O402" i="1"/>
  <c r="N402" i="1"/>
  <c r="O401" i="1"/>
  <c r="N401" i="1"/>
  <c r="O400" i="1"/>
  <c r="N400" i="1"/>
  <c r="O399" i="1"/>
  <c r="N399" i="1"/>
  <c r="O398" i="1"/>
  <c r="N398" i="1"/>
  <c r="O397" i="1"/>
  <c r="N397" i="1"/>
  <c r="O396" i="1"/>
  <c r="N396" i="1"/>
  <c r="O395" i="1"/>
  <c r="N395" i="1"/>
  <c r="O394" i="1"/>
  <c r="N394" i="1"/>
  <c r="O393" i="1"/>
  <c r="N393" i="1"/>
  <c r="O392" i="1"/>
  <c r="N392" i="1"/>
  <c r="O391" i="1"/>
  <c r="N391" i="1"/>
  <c r="O390" i="1"/>
  <c r="N390" i="1"/>
  <c r="O389" i="1"/>
  <c r="N389" i="1"/>
  <c r="O388" i="1"/>
  <c r="N388" i="1"/>
  <c r="O387" i="1"/>
  <c r="N387" i="1"/>
  <c r="O386" i="1"/>
  <c r="N386" i="1"/>
  <c r="O385" i="1"/>
  <c r="N385" i="1"/>
  <c r="O384" i="1"/>
  <c r="N384" i="1"/>
  <c r="O383" i="1"/>
  <c r="N383" i="1"/>
  <c r="O382" i="1"/>
  <c r="N382" i="1"/>
  <c r="O381" i="1"/>
  <c r="N381" i="1"/>
  <c r="O380" i="1"/>
  <c r="N380" i="1"/>
  <c r="O379" i="1"/>
  <c r="N379" i="1"/>
  <c r="O378" i="1"/>
  <c r="N378" i="1"/>
  <c r="O377" i="1"/>
  <c r="N377" i="1"/>
  <c r="O376" i="1"/>
  <c r="N376" i="1"/>
  <c r="O375" i="1"/>
  <c r="N375" i="1"/>
  <c r="O374" i="1"/>
  <c r="N374" i="1"/>
  <c r="O373" i="1"/>
  <c r="N373" i="1"/>
  <c r="O372" i="1"/>
  <c r="N372" i="1"/>
  <c r="O371" i="1"/>
  <c r="N371" i="1"/>
  <c r="O370" i="1"/>
  <c r="N370" i="1"/>
  <c r="O369" i="1"/>
  <c r="N369" i="1"/>
  <c r="O368" i="1"/>
  <c r="N368" i="1"/>
  <c r="O367" i="1"/>
  <c r="N367" i="1"/>
  <c r="O366" i="1"/>
  <c r="N366" i="1"/>
  <c r="O365" i="1"/>
  <c r="N365" i="1"/>
  <c r="O364" i="1"/>
  <c r="N364" i="1"/>
  <c r="O363" i="1"/>
  <c r="N363" i="1"/>
  <c r="O362" i="1"/>
  <c r="N362" i="1"/>
  <c r="O361" i="1"/>
  <c r="N361" i="1"/>
  <c r="O360" i="1"/>
  <c r="N360" i="1"/>
  <c r="O359" i="1"/>
  <c r="N359" i="1"/>
  <c r="O358" i="1"/>
  <c r="N358" i="1"/>
  <c r="O357" i="1"/>
  <c r="N357" i="1"/>
  <c r="O356" i="1"/>
  <c r="N356" i="1"/>
  <c r="O355" i="1"/>
  <c r="N355" i="1"/>
  <c r="O354" i="1"/>
  <c r="N354" i="1"/>
  <c r="O353" i="1"/>
  <c r="N353" i="1"/>
  <c r="O352" i="1"/>
  <c r="N352" i="1"/>
  <c r="O351" i="1"/>
  <c r="N351" i="1"/>
  <c r="O350" i="1"/>
  <c r="N350" i="1"/>
  <c r="O349" i="1"/>
  <c r="N349" i="1"/>
  <c r="O348" i="1"/>
  <c r="N348" i="1"/>
  <c r="O347" i="1"/>
  <c r="N347" i="1"/>
  <c r="O346" i="1"/>
  <c r="N346" i="1"/>
  <c r="O345" i="1"/>
  <c r="N345" i="1"/>
  <c r="O344" i="1"/>
  <c r="N344" i="1"/>
  <c r="O343" i="1"/>
  <c r="N343" i="1"/>
  <c r="O342" i="1"/>
  <c r="N342" i="1"/>
  <c r="O341" i="1"/>
  <c r="N341" i="1"/>
  <c r="O340" i="1"/>
  <c r="N340" i="1"/>
  <c r="O339" i="1"/>
  <c r="N339" i="1"/>
  <c r="O338" i="1"/>
  <c r="N338" i="1"/>
  <c r="O337" i="1"/>
  <c r="N337" i="1"/>
  <c r="O336" i="1"/>
  <c r="N336" i="1"/>
  <c r="O335" i="1"/>
  <c r="N335" i="1"/>
  <c r="O334" i="1"/>
  <c r="N334" i="1"/>
  <c r="O333" i="1"/>
  <c r="N333" i="1"/>
  <c r="O332" i="1"/>
  <c r="N332" i="1"/>
  <c r="O331" i="1"/>
  <c r="N331" i="1"/>
  <c r="O330" i="1"/>
  <c r="N330" i="1"/>
  <c r="O329" i="1"/>
  <c r="N329" i="1"/>
  <c r="O328" i="1"/>
  <c r="N328" i="1"/>
  <c r="O327" i="1"/>
  <c r="N327" i="1"/>
  <c r="O326" i="1"/>
  <c r="N326" i="1"/>
  <c r="O325" i="1"/>
  <c r="N325" i="1"/>
  <c r="O324" i="1"/>
  <c r="N324" i="1"/>
  <c r="O323" i="1"/>
  <c r="N323" i="1"/>
  <c r="O322" i="1"/>
  <c r="N322" i="1"/>
  <c r="O321" i="1"/>
  <c r="N321" i="1"/>
  <c r="O320" i="1"/>
  <c r="N320" i="1"/>
  <c r="O319" i="1"/>
  <c r="N319" i="1"/>
  <c r="O318" i="1"/>
  <c r="N318" i="1"/>
  <c r="O317" i="1"/>
  <c r="N317" i="1"/>
  <c r="O316" i="1"/>
  <c r="N316" i="1"/>
  <c r="O315" i="1"/>
  <c r="N315" i="1"/>
  <c r="O314" i="1"/>
  <c r="N314" i="1"/>
  <c r="O313" i="1"/>
  <c r="N313" i="1"/>
  <c r="O312" i="1"/>
  <c r="N312" i="1"/>
  <c r="O311" i="1"/>
  <c r="N311" i="1"/>
  <c r="O310" i="1"/>
  <c r="N310" i="1"/>
  <c r="O309" i="1"/>
  <c r="N309" i="1"/>
  <c r="O308" i="1"/>
  <c r="N308" i="1"/>
  <c r="O307" i="1"/>
  <c r="N307" i="1"/>
  <c r="O306" i="1"/>
  <c r="N306" i="1"/>
  <c r="O305" i="1"/>
  <c r="N305" i="1"/>
  <c r="O304" i="1"/>
  <c r="N304" i="1"/>
  <c r="O303" i="1"/>
  <c r="N303" i="1"/>
  <c r="O302" i="1"/>
  <c r="N302" i="1"/>
  <c r="O301" i="1"/>
  <c r="N301" i="1"/>
  <c r="O300" i="1"/>
  <c r="N300" i="1"/>
  <c r="O299" i="1"/>
  <c r="N299" i="1"/>
  <c r="O298" i="1"/>
  <c r="N298" i="1"/>
  <c r="O297" i="1"/>
  <c r="N297" i="1"/>
  <c r="O296" i="1"/>
  <c r="N296" i="1"/>
  <c r="O295" i="1"/>
  <c r="N295" i="1"/>
  <c r="O294" i="1"/>
  <c r="N294" i="1"/>
  <c r="O293" i="1"/>
  <c r="N293" i="1"/>
  <c r="O292" i="1"/>
  <c r="N292" i="1"/>
  <c r="O291" i="1"/>
  <c r="N291" i="1"/>
  <c r="O290" i="1"/>
  <c r="N290" i="1"/>
  <c r="O289" i="1"/>
  <c r="N289" i="1"/>
  <c r="O288" i="1"/>
  <c r="N288" i="1"/>
  <c r="O287" i="1"/>
  <c r="N287" i="1"/>
  <c r="O286" i="1"/>
  <c r="N286" i="1"/>
  <c r="O285" i="1"/>
  <c r="N285" i="1"/>
  <c r="O284" i="1"/>
  <c r="N284" i="1"/>
  <c r="O283" i="1"/>
  <c r="N283" i="1"/>
  <c r="O282" i="1"/>
  <c r="N282" i="1"/>
  <c r="O281" i="1"/>
  <c r="N281" i="1"/>
  <c r="O280" i="1"/>
  <c r="N280" i="1"/>
  <c r="O279" i="1"/>
  <c r="N279" i="1"/>
  <c r="O278" i="1"/>
  <c r="N278" i="1"/>
  <c r="O277" i="1"/>
  <c r="N277" i="1"/>
  <c r="O276" i="1"/>
  <c r="N276" i="1"/>
  <c r="O275" i="1"/>
  <c r="N275" i="1"/>
  <c r="O274" i="1"/>
  <c r="N274" i="1"/>
  <c r="O273" i="1"/>
  <c r="N273" i="1"/>
  <c r="O272" i="1"/>
  <c r="N272" i="1"/>
  <c r="O271" i="1"/>
  <c r="N271" i="1"/>
  <c r="O270" i="1"/>
  <c r="N270" i="1"/>
  <c r="O269" i="1"/>
  <c r="N269" i="1"/>
  <c r="O268" i="1"/>
  <c r="N268" i="1"/>
  <c r="O267" i="1"/>
  <c r="N267" i="1"/>
  <c r="O266" i="1"/>
  <c r="N266" i="1"/>
  <c r="O265" i="1"/>
  <c r="N265" i="1"/>
  <c r="O264" i="1"/>
  <c r="N264" i="1"/>
  <c r="O263" i="1"/>
  <c r="N263" i="1"/>
  <c r="O262" i="1"/>
  <c r="N262" i="1"/>
  <c r="O261" i="1"/>
  <c r="N261" i="1"/>
  <c r="O260" i="1"/>
  <c r="N260" i="1"/>
  <c r="O259" i="1"/>
  <c r="N259" i="1"/>
  <c r="O258" i="1"/>
  <c r="N258" i="1"/>
  <c r="O257" i="1"/>
  <c r="N257" i="1"/>
  <c r="O256" i="1"/>
  <c r="N256" i="1"/>
  <c r="O255" i="1"/>
  <c r="N255" i="1"/>
  <c r="O254" i="1"/>
  <c r="N254" i="1"/>
  <c r="O253" i="1"/>
  <c r="N253" i="1"/>
  <c r="O252" i="1"/>
  <c r="N252" i="1"/>
  <c r="O251" i="1"/>
  <c r="N251" i="1"/>
  <c r="O250" i="1"/>
  <c r="N250" i="1"/>
  <c r="O249" i="1"/>
  <c r="N249" i="1"/>
  <c r="O248" i="1"/>
  <c r="N248" i="1"/>
  <c r="O247" i="1"/>
  <c r="N247" i="1"/>
  <c r="O246" i="1"/>
  <c r="N246" i="1"/>
  <c r="O245" i="1"/>
  <c r="N245" i="1"/>
  <c r="O244" i="1"/>
  <c r="N244" i="1"/>
  <c r="O243" i="1"/>
  <c r="N243" i="1"/>
  <c r="O242" i="1"/>
  <c r="N242" i="1"/>
  <c r="O241" i="1"/>
  <c r="N241" i="1"/>
  <c r="O240" i="1"/>
  <c r="N240" i="1"/>
  <c r="O239" i="1"/>
  <c r="N239" i="1"/>
  <c r="O238" i="1"/>
  <c r="N238" i="1"/>
  <c r="O237" i="1"/>
  <c r="N237" i="1"/>
  <c r="O236" i="1"/>
  <c r="N236" i="1"/>
  <c r="O235" i="1"/>
  <c r="N235" i="1"/>
  <c r="O234" i="1"/>
  <c r="N234" i="1"/>
  <c r="O233" i="1"/>
  <c r="N233" i="1"/>
  <c r="O232" i="1"/>
  <c r="N232" i="1"/>
  <c r="O231" i="1"/>
  <c r="N231" i="1"/>
  <c r="O230" i="1"/>
  <c r="N230" i="1"/>
  <c r="O229" i="1"/>
  <c r="N229" i="1"/>
  <c r="O228" i="1"/>
  <c r="N228" i="1"/>
  <c r="O227" i="1"/>
  <c r="N227" i="1"/>
  <c r="O226" i="1"/>
  <c r="N226" i="1"/>
  <c r="O225" i="1"/>
  <c r="N225" i="1"/>
  <c r="O224" i="1"/>
  <c r="N224" i="1"/>
  <c r="O223" i="1"/>
  <c r="N223" i="1"/>
  <c r="O222" i="1"/>
  <c r="N222" i="1"/>
  <c r="O221" i="1"/>
  <c r="N221" i="1"/>
  <c r="O220" i="1"/>
  <c r="N220" i="1"/>
  <c r="O219" i="1"/>
  <c r="N219" i="1"/>
  <c r="O218" i="1"/>
  <c r="N218" i="1"/>
  <c r="O217" i="1"/>
  <c r="N217" i="1"/>
  <c r="O216" i="1"/>
  <c r="N216" i="1"/>
  <c r="O215" i="1"/>
  <c r="N215" i="1"/>
  <c r="O214" i="1"/>
  <c r="N214" i="1"/>
  <c r="O213" i="1"/>
  <c r="N213" i="1"/>
  <c r="O212" i="1"/>
  <c r="N212" i="1"/>
  <c r="O211" i="1"/>
  <c r="N211" i="1"/>
  <c r="O210" i="1"/>
  <c r="N210" i="1"/>
  <c r="O209" i="1"/>
  <c r="N209" i="1"/>
  <c r="O208" i="1"/>
  <c r="N208" i="1"/>
  <c r="O207" i="1"/>
  <c r="N207" i="1"/>
  <c r="O206" i="1"/>
  <c r="N206" i="1"/>
  <c r="O205" i="1"/>
  <c r="N205" i="1"/>
  <c r="O204" i="1"/>
  <c r="N204" i="1"/>
  <c r="O203" i="1"/>
  <c r="N203" i="1"/>
  <c r="O202" i="1"/>
  <c r="N202" i="1"/>
  <c r="O201" i="1"/>
  <c r="N201" i="1"/>
  <c r="O200" i="1"/>
  <c r="N200" i="1"/>
  <c r="O199" i="1"/>
  <c r="N199" i="1"/>
  <c r="O198" i="1"/>
  <c r="N198" i="1"/>
  <c r="O197" i="1"/>
  <c r="N197" i="1"/>
  <c r="O196" i="1"/>
  <c r="N196" i="1"/>
  <c r="O195" i="1"/>
  <c r="N195" i="1"/>
  <c r="O194" i="1"/>
  <c r="N194" i="1"/>
  <c r="O193" i="1"/>
  <c r="N193" i="1"/>
  <c r="O192" i="1"/>
  <c r="N192" i="1"/>
  <c r="O191" i="1"/>
  <c r="N191" i="1"/>
  <c r="O190" i="1"/>
  <c r="N190" i="1"/>
  <c r="O189" i="1"/>
  <c r="N189" i="1"/>
  <c r="O188" i="1"/>
  <c r="N188" i="1"/>
  <c r="O187" i="1"/>
  <c r="N187" i="1"/>
  <c r="O186" i="1"/>
  <c r="N186" i="1"/>
  <c r="O185" i="1"/>
  <c r="N185" i="1"/>
  <c r="O184" i="1"/>
  <c r="N184" i="1"/>
  <c r="O183" i="1"/>
  <c r="N183" i="1"/>
  <c r="O182" i="1"/>
  <c r="N182" i="1"/>
  <c r="O181" i="1"/>
  <c r="N181" i="1"/>
  <c r="O180" i="1"/>
  <c r="N180" i="1"/>
  <c r="O179" i="1"/>
  <c r="N179" i="1"/>
  <c r="O178" i="1"/>
  <c r="N178" i="1"/>
  <c r="O177" i="1"/>
  <c r="N177" i="1"/>
  <c r="O176" i="1"/>
  <c r="N176" i="1"/>
  <c r="O175" i="1"/>
  <c r="N175" i="1"/>
  <c r="O174" i="1"/>
  <c r="N174" i="1"/>
  <c r="O173" i="1"/>
  <c r="N173" i="1"/>
  <c r="O172" i="1"/>
  <c r="N172" i="1"/>
  <c r="O171" i="1"/>
  <c r="N171" i="1"/>
  <c r="O170" i="1"/>
  <c r="N170" i="1"/>
  <c r="O169" i="1"/>
  <c r="N169" i="1"/>
  <c r="O168" i="1"/>
  <c r="N168" i="1"/>
  <c r="O167" i="1"/>
  <c r="N167" i="1"/>
  <c r="O166" i="1"/>
  <c r="N166" i="1"/>
  <c r="O165" i="1"/>
  <c r="N165" i="1"/>
  <c r="O164" i="1"/>
  <c r="N164" i="1"/>
  <c r="O163" i="1"/>
  <c r="N163" i="1"/>
  <c r="O162" i="1"/>
  <c r="N162" i="1"/>
  <c r="O161" i="1"/>
  <c r="N161" i="1"/>
  <c r="O160" i="1"/>
  <c r="N160" i="1"/>
  <c r="O159" i="1"/>
  <c r="N159" i="1"/>
  <c r="O158" i="1"/>
  <c r="N158" i="1"/>
  <c r="O157" i="1"/>
  <c r="N157" i="1"/>
  <c r="O156" i="1"/>
  <c r="N156" i="1"/>
  <c r="O155" i="1"/>
  <c r="N155" i="1"/>
  <c r="O154" i="1"/>
  <c r="N154" i="1"/>
  <c r="O153" i="1"/>
  <c r="N153" i="1"/>
  <c r="O152" i="1"/>
  <c r="N152" i="1"/>
  <c r="O151" i="1"/>
  <c r="N151" i="1"/>
  <c r="O150" i="1"/>
  <c r="N150" i="1"/>
  <c r="O149" i="1"/>
  <c r="N149" i="1"/>
  <c r="O148" i="1"/>
  <c r="N148" i="1"/>
  <c r="O147" i="1"/>
  <c r="N147" i="1"/>
  <c r="O146" i="1"/>
  <c r="N146" i="1"/>
  <c r="O145" i="1"/>
  <c r="N145" i="1"/>
  <c r="O144" i="1"/>
  <c r="N144" i="1"/>
  <c r="O143" i="1"/>
  <c r="N143" i="1"/>
  <c r="O142" i="1"/>
  <c r="N142" i="1"/>
  <c r="O141" i="1"/>
  <c r="N141" i="1"/>
  <c r="O140" i="1"/>
  <c r="N140" i="1"/>
  <c r="O139" i="1"/>
  <c r="N139" i="1"/>
  <c r="O138" i="1"/>
  <c r="N138" i="1"/>
  <c r="O137" i="1"/>
  <c r="N137" i="1"/>
  <c r="O136" i="1"/>
  <c r="N136" i="1"/>
  <c r="O135" i="1"/>
  <c r="N135" i="1"/>
  <c r="O134" i="1"/>
  <c r="N134" i="1"/>
  <c r="O133" i="1"/>
  <c r="N133" i="1"/>
  <c r="O132" i="1"/>
  <c r="N132" i="1"/>
  <c r="O131" i="1"/>
  <c r="N131" i="1"/>
  <c r="O130" i="1"/>
  <c r="N130" i="1"/>
  <c r="O129" i="1"/>
  <c r="N129" i="1"/>
  <c r="O128" i="1"/>
  <c r="N128" i="1"/>
  <c r="O127" i="1"/>
  <c r="N127" i="1"/>
  <c r="O126" i="1"/>
  <c r="N126" i="1"/>
  <c r="O125" i="1"/>
  <c r="N125" i="1"/>
  <c r="O124" i="1"/>
  <c r="N124" i="1"/>
  <c r="O123" i="1"/>
  <c r="N123" i="1"/>
  <c r="O122" i="1"/>
  <c r="N122" i="1"/>
  <c r="O121" i="1"/>
  <c r="N121" i="1"/>
  <c r="O120" i="1"/>
  <c r="N120" i="1"/>
  <c r="O119" i="1"/>
  <c r="N119" i="1"/>
  <c r="O118" i="1"/>
  <c r="N118" i="1"/>
  <c r="O117" i="1"/>
  <c r="N117" i="1"/>
  <c r="O116" i="1"/>
  <c r="N116" i="1"/>
  <c r="O115" i="1"/>
  <c r="N115" i="1"/>
  <c r="O114" i="1"/>
  <c r="N114" i="1"/>
  <c r="O113" i="1"/>
  <c r="N113" i="1"/>
  <c r="O112" i="1"/>
  <c r="N112" i="1"/>
  <c r="O111" i="1"/>
  <c r="N111" i="1"/>
  <c r="O110" i="1"/>
  <c r="N110" i="1"/>
  <c r="O109" i="1"/>
  <c r="N109" i="1"/>
  <c r="O108" i="1"/>
  <c r="N108" i="1"/>
  <c r="O107" i="1"/>
  <c r="N107" i="1"/>
  <c r="O106" i="1"/>
  <c r="N106" i="1"/>
  <c r="O105" i="1"/>
  <c r="N105" i="1"/>
  <c r="O104" i="1"/>
  <c r="N104" i="1"/>
  <c r="O103" i="1"/>
  <c r="N103" i="1"/>
  <c r="O102" i="1"/>
  <c r="N102" i="1"/>
  <c r="O101" i="1"/>
  <c r="N101" i="1"/>
  <c r="O100" i="1"/>
  <c r="N100" i="1"/>
  <c r="O99" i="1"/>
  <c r="N99" i="1"/>
  <c r="O98" i="1"/>
  <c r="N98" i="1"/>
  <c r="O97" i="1"/>
  <c r="N97" i="1"/>
  <c r="O96" i="1"/>
  <c r="N96" i="1"/>
  <c r="O95" i="1"/>
  <c r="N95" i="1"/>
  <c r="O94" i="1"/>
  <c r="N94" i="1"/>
  <c r="O93" i="1"/>
  <c r="N93" i="1"/>
  <c r="O92" i="1"/>
  <c r="N92" i="1"/>
  <c r="O91" i="1"/>
  <c r="N91" i="1"/>
  <c r="O90" i="1"/>
  <c r="N90" i="1"/>
  <c r="O89" i="1"/>
  <c r="N89" i="1"/>
  <c r="O88" i="1"/>
  <c r="N88" i="1"/>
  <c r="O87" i="1"/>
  <c r="N87" i="1"/>
  <c r="O86" i="1"/>
  <c r="N86" i="1"/>
  <c r="O85" i="1"/>
  <c r="N85" i="1"/>
  <c r="O84" i="1"/>
  <c r="N84" i="1"/>
  <c r="O83" i="1"/>
  <c r="N83" i="1"/>
  <c r="O82" i="1"/>
  <c r="N82" i="1"/>
  <c r="O81" i="1"/>
  <c r="N81" i="1"/>
  <c r="O80" i="1"/>
  <c r="N80" i="1"/>
  <c r="O79" i="1"/>
  <c r="N79" i="1"/>
  <c r="O78" i="1"/>
  <c r="N78" i="1"/>
  <c r="O77" i="1"/>
  <c r="N77" i="1"/>
  <c r="O76" i="1"/>
  <c r="N76" i="1"/>
  <c r="O75" i="1"/>
  <c r="N75" i="1"/>
  <c r="O74" i="1"/>
  <c r="N74" i="1"/>
  <c r="O73" i="1"/>
  <c r="N73" i="1"/>
  <c r="O72" i="1"/>
  <c r="N72" i="1"/>
  <c r="O71" i="1"/>
  <c r="N71" i="1"/>
  <c r="O70" i="1"/>
  <c r="N70" i="1"/>
  <c r="O69" i="1"/>
  <c r="N69" i="1"/>
  <c r="O68" i="1"/>
  <c r="N68" i="1"/>
  <c r="O67" i="1"/>
  <c r="N67" i="1"/>
  <c r="O66" i="1"/>
  <c r="N66" i="1"/>
  <c r="O65" i="1"/>
  <c r="N65" i="1"/>
  <c r="O64" i="1"/>
  <c r="N64" i="1"/>
  <c r="O63" i="1"/>
  <c r="N63" i="1"/>
  <c r="O62" i="1"/>
  <c r="N62" i="1"/>
  <c r="O61" i="1"/>
  <c r="N61" i="1"/>
  <c r="O60" i="1"/>
  <c r="N60" i="1"/>
  <c r="O59" i="1"/>
  <c r="N59" i="1"/>
  <c r="O58" i="1"/>
  <c r="N58" i="1"/>
  <c r="O57" i="1"/>
  <c r="N57" i="1"/>
  <c r="O56" i="1"/>
  <c r="N56" i="1"/>
  <c r="O55" i="1"/>
  <c r="N55" i="1"/>
  <c r="O54" i="1"/>
  <c r="N54" i="1"/>
  <c r="O53" i="1"/>
  <c r="N53" i="1"/>
  <c r="O52" i="1"/>
  <c r="N52" i="1"/>
  <c r="O51" i="1"/>
  <c r="N51" i="1"/>
  <c r="O50" i="1"/>
  <c r="N50" i="1"/>
  <c r="O49" i="1"/>
  <c r="N49" i="1"/>
  <c r="O48" i="1"/>
  <c r="N48" i="1"/>
  <c r="O47" i="1"/>
  <c r="N47" i="1"/>
  <c r="O46" i="1"/>
  <c r="N46" i="1"/>
  <c r="O45" i="1"/>
  <c r="N45" i="1"/>
  <c r="O44" i="1"/>
  <c r="N44" i="1"/>
  <c r="O43" i="1"/>
  <c r="N43" i="1"/>
  <c r="O42" i="1"/>
  <c r="N42" i="1"/>
  <c r="O41" i="1"/>
  <c r="N41" i="1"/>
  <c r="O40" i="1"/>
  <c r="N40" i="1"/>
  <c r="O39" i="1"/>
  <c r="N39" i="1"/>
  <c r="O38" i="1"/>
  <c r="N38" i="1"/>
  <c r="O37" i="1"/>
  <c r="N37" i="1"/>
  <c r="O36" i="1"/>
  <c r="N36" i="1"/>
  <c r="O35" i="1"/>
  <c r="N35" i="1"/>
  <c r="O34" i="1"/>
  <c r="N34" i="1"/>
  <c r="O33" i="1"/>
  <c r="N33" i="1"/>
  <c r="O32" i="1"/>
  <c r="N32" i="1"/>
  <c r="O31" i="1"/>
  <c r="N31" i="1"/>
  <c r="O30" i="1"/>
  <c r="N30" i="1"/>
  <c r="O29" i="1"/>
  <c r="N29" i="1"/>
  <c r="O28" i="1"/>
  <c r="N28" i="1"/>
  <c r="O27" i="1"/>
  <c r="N27" i="1"/>
  <c r="O26" i="1"/>
  <c r="N26" i="1"/>
  <c r="O25" i="1"/>
  <c r="N25" i="1"/>
  <c r="O24" i="1"/>
  <c r="N24" i="1"/>
  <c r="O23" i="1"/>
  <c r="N23" i="1"/>
  <c r="O22" i="1"/>
  <c r="N22" i="1"/>
  <c r="O21" i="1"/>
  <c r="N21" i="1"/>
  <c r="O20" i="1"/>
  <c r="N20" i="1"/>
  <c r="O19" i="1"/>
  <c r="N19" i="1"/>
  <c r="O18" i="1"/>
  <c r="N18" i="1"/>
  <c r="O17" i="1"/>
  <c r="N17" i="1"/>
  <c r="O16" i="1"/>
  <c r="N16" i="1"/>
  <c r="O15" i="1"/>
  <c r="N15" i="1"/>
  <c r="O14" i="1"/>
  <c r="N14" i="1"/>
  <c r="O13" i="1"/>
  <c r="N13" i="1"/>
  <c r="O12" i="1"/>
  <c r="N12" i="1"/>
  <c r="O11" i="1"/>
  <c r="N11" i="1"/>
  <c r="O10" i="1"/>
  <c r="N10" i="1"/>
  <c r="O9" i="1"/>
  <c r="N9" i="1"/>
  <c r="O8" i="1"/>
  <c r="N8" i="1"/>
  <c r="O7" i="1"/>
  <c r="N7" i="1"/>
  <c r="O6" i="1"/>
  <c r="N6" i="1"/>
  <c r="O5" i="1"/>
  <c r="N5" i="1"/>
  <c r="R4" i="1"/>
  <c r="Q4" i="1"/>
  <c r="O4" i="1"/>
  <c r="N4" i="1"/>
  <c r="O3" i="1"/>
  <c r="N3" i="1"/>
  <c r="R2" i="1"/>
  <c r="Q2" i="1"/>
  <c r="O2" i="1"/>
  <c r="N2" i="1"/>
</calcChain>
</file>

<file path=xl/sharedStrings.xml><?xml version="1.0" encoding="utf-8"?>
<sst xmlns="http://schemas.openxmlformats.org/spreadsheetml/2006/main" count="8507" uniqueCount="766">
  <si>
    <t>Order_ID</t>
  </si>
  <si>
    <t>Order_Date</t>
  </si>
  <si>
    <t>Customer_ID</t>
  </si>
  <si>
    <t>Product</t>
  </si>
  <si>
    <t>Category</t>
  </si>
  <si>
    <t>Region</t>
  </si>
  <si>
    <t>Quantity</t>
  </si>
  <si>
    <t>Unit_Price</t>
  </si>
  <si>
    <t>Discount</t>
  </si>
  <si>
    <t>Revenue</t>
  </si>
  <si>
    <t>Cost</t>
  </si>
  <si>
    <t>Profit</t>
  </si>
  <si>
    <t>Order_Status</t>
  </si>
  <si>
    <t>ORD0001</t>
  </si>
  <si>
    <t>CUST0075</t>
  </si>
  <si>
    <t>Cable Organizer</t>
  </si>
  <si>
    <t>Accessories</t>
  </si>
  <si>
    <t>East</t>
  </si>
  <si>
    <t>Completed</t>
  </si>
  <si>
    <t>ORD0002</t>
  </si>
  <si>
    <t>CUST0130</t>
  </si>
  <si>
    <t>Notebook</t>
  </si>
  <si>
    <t>Stationery</t>
  </si>
  <si>
    <t>West</t>
  </si>
  <si>
    <t>Returned</t>
  </si>
  <si>
    <t>ORD0003</t>
  </si>
  <si>
    <t>CUST0170</t>
  </si>
  <si>
    <t>ORD0004</t>
  </si>
  <si>
    <t>CUST0135</t>
  </si>
  <si>
    <t>Sticky Notes</t>
  </si>
  <si>
    <t>North</t>
  </si>
  <si>
    <t>Cancelled</t>
  </si>
  <si>
    <t>ORD0005</t>
  </si>
  <si>
    <t>CUST0053</t>
  </si>
  <si>
    <t>Headphones</t>
  </si>
  <si>
    <t>Electronics</t>
  </si>
  <si>
    <t>South</t>
  </si>
  <si>
    <t>ORD0006</t>
  </si>
  <si>
    <t>CUST0104</t>
  </si>
  <si>
    <t>ORD0007</t>
  </si>
  <si>
    <t>CUST0014</t>
  </si>
  <si>
    <t>Storage Box</t>
  </si>
  <si>
    <t>Home</t>
  </si>
  <si>
    <t>ORD0008</t>
  </si>
  <si>
    <t>CUST0024</t>
  </si>
  <si>
    <t>Planner</t>
  </si>
  <si>
    <t>ORD0009</t>
  </si>
  <si>
    <t>CUST0071</t>
  </si>
  <si>
    <t>USB Hub</t>
  </si>
  <si>
    <t>ORD0010</t>
  </si>
  <si>
    <t>CUST0123</t>
  </si>
  <si>
    <t>ORD0011</t>
  </si>
  <si>
    <t>CUST0048</t>
  </si>
  <si>
    <t>Office Chair</t>
  </si>
  <si>
    <t>ORD0012</t>
  </si>
  <si>
    <t>CUST0101</t>
  </si>
  <si>
    <t>Phone Stand</t>
  </si>
  <si>
    <t>ORD0013</t>
  </si>
  <si>
    <t>CUST0015</t>
  </si>
  <si>
    <t>ORD0014</t>
  </si>
  <si>
    <t>CUST0132</t>
  </si>
  <si>
    <t>Water Bottle</t>
  </si>
  <si>
    <t>ORD0015</t>
  </si>
  <si>
    <t>CUST0086</t>
  </si>
  <si>
    <t>ORD0016</t>
  </si>
  <si>
    <t>CUST0084</t>
  </si>
  <si>
    <t>ORD0017</t>
  </si>
  <si>
    <t>CUST0121</t>
  </si>
  <si>
    <t>ORD0018</t>
  </si>
  <si>
    <t>CUST0051</t>
  </si>
  <si>
    <t>Wireless Mouse</t>
  </si>
  <si>
    <t>ORD0019</t>
  </si>
  <si>
    <t>CUST0052</t>
  </si>
  <si>
    <t>ORD0020</t>
  </si>
  <si>
    <t>CUST0002</t>
  </si>
  <si>
    <t>ORD0021</t>
  </si>
  <si>
    <t>CUST0160</t>
  </si>
  <si>
    <t>Pen Set</t>
  </si>
  <si>
    <t>ORD0022</t>
  </si>
  <si>
    <t>CUST0139</t>
  </si>
  <si>
    <t>ORD0023</t>
  </si>
  <si>
    <t>CUST0164</t>
  </si>
  <si>
    <t>ORD0024</t>
  </si>
  <si>
    <t>CUST0129</t>
  </si>
  <si>
    <t>ORD0025</t>
  </si>
  <si>
    <t>CUST0090</t>
  </si>
  <si>
    <t>ORD0026</t>
  </si>
  <si>
    <t>ORD0027</t>
  </si>
  <si>
    <t>Backpack</t>
  </si>
  <si>
    <t>ORD0028</t>
  </si>
  <si>
    <t>CUST0146</t>
  </si>
  <si>
    <t>ORD0029</t>
  </si>
  <si>
    <t>CUST0033</t>
  </si>
  <si>
    <t>ORD0030</t>
  </si>
  <si>
    <t>CUST0115</t>
  </si>
  <si>
    <t>ORD0031</t>
  </si>
  <si>
    <t>CUST0097</t>
  </si>
  <si>
    <t>ORD0032</t>
  </si>
  <si>
    <t>CUST0049</t>
  </si>
  <si>
    <t>ORD0033</t>
  </si>
  <si>
    <t>CUST0037</t>
  </si>
  <si>
    <t>ORD0034</t>
  </si>
  <si>
    <t>CUST0067</t>
  </si>
  <si>
    <t>ORD0035</t>
  </si>
  <si>
    <t>CUST0175</t>
  </si>
  <si>
    <t>Desk Lamp</t>
  </si>
  <si>
    <t>ORD0036</t>
  </si>
  <si>
    <t>CUST0176</t>
  </si>
  <si>
    <t>ORD0037</t>
  </si>
  <si>
    <t>CUST0036</t>
  </si>
  <si>
    <t>Keyboard</t>
  </si>
  <si>
    <t>ORD0038</t>
  </si>
  <si>
    <t>CUST0063</t>
  </si>
  <si>
    <t>ORD0039</t>
  </si>
  <si>
    <t>CUST0008</t>
  </si>
  <si>
    <t>ORD0040</t>
  </si>
  <si>
    <t>CUST0047</t>
  </si>
  <si>
    <t>ORD0041</t>
  </si>
  <si>
    <t>CUST0120</t>
  </si>
  <si>
    <t>ORD0042</t>
  </si>
  <si>
    <t>CUST0058</t>
  </si>
  <si>
    <t>ORD0043</t>
  </si>
  <si>
    <t>CUST0069</t>
  </si>
  <si>
    <t>ORD0044</t>
  </si>
  <si>
    <t>ORD0045</t>
  </si>
  <si>
    <t>CUST0100</t>
  </si>
  <si>
    <t>ORD0046</t>
  </si>
  <si>
    <t>CUST0138</t>
  </si>
  <si>
    <t>ORD0047</t>
  </si>
  <si>
    <t>ORD0048</t>
  </si>
  <si>
    <t>ORD0049</t>
  </si>
  <si>
    <t>CUST0035</t>
  </si>
  <si>
    <t>ORD0050</t>
  </si>
  <si>
    <t>ORD0051</t>
  </si>
  <si>
    <t>ORD0052</t>
  </si>
  <si>
    <t>CUST0113</t>
  </si>
  <si>
    <t>ORD0053</t>
  </si>
  <si>
    <t>ORD0054</t>
  </si>
  <si>
    <t>CUST0128</t>
  </si>
  <si>
    <t>Laptop Sleeve</t>
  </si>
  <si>
    <t>ORD0055</t>
  </si>
  <si>
    <t>CUST0151</t>
  </si>
  <si>
    <t>ORD0056</t>
  </si>
  <si>
    <t>CUST0163</t>
  </si>
  <si>
    <t>ORD0057</t>
  </si>
  <si>
    <t>CUST0007</t>
  </si>
  <si>
    <t>ORD0058</t>
  </si>
  <si>
    <t>CUST0166</t>
  </si>
  <si>
    <t>ORD0059</t>
  </si>
  <si>
    <t>ORD0060</t>
  </si>
  <si>
    <t>CUST0039</t>
  </si>
  <si>
    <t>ORD0061</t>
  </si>
  <si>
    <t>CUST0167</t>
  </si>
  <si>
    <t>ORD0062</t>
  </si>
  <si>
    <t>CUST0134</t>
  </si>
  <si>
    <t>ORD0063</t>
  </si>
  <si>
    <t>ORD0064</t>
  </si>
  <si>
    <t>CUST0118</t>
  </si>
  <si>
    <t>ORD0065</t>
  </si>
  <si>
    <t>CUST0117</t>
  </si>
  <si>
    <t>ORD0066</t>
  </si>
  <si>
    <t>CUST0041</t>
  </si>
  <si>
    <t>ORD0067</t>
  </si>
  <si>
    <t>ORD0068</t>
  </si>
  <si>
    <t>CUST0109</t>
  </si>
  <si>
    <t>ORD0069</t>
  </si>
  <si>
    <t>CUST0026</t>
  </si>
  <si>
    <t>ORD0070</t>
  </si>
  <si>
    <t>CUST0006</t>
  </si>
  <si>
    <t>ORD0071</t>
  </si>
  <si>
    <t>CUST0083</t>
  </si>
  <si>
    <t>ORD0072</t>
  </si>
  <si>
    <t>CUST0034</t>
  </si>
  <si>
    <t>ORD0073</t>
  </si>
  <si>
    <t>CUST0054</t>
  </si>
  <si>
    <t>ORD0074</t>
  </si>
  <si>
    <t>CUST0142</t>
  </si>
  <si>
    <t>ORD0075</t>
  </si>
  <si>
    <t>2025/13/05</t>
  </si>
  <si>
    <t>ORD0076</t>
  </si>
  <si>
    <t>CUST0145</t>
  </si>
  <si>
    <t>ORD0077</t>
  </si>
  <si>
    <t>CUST0043</t>
  </si>
  <si>
    <t>ORD0078</t>
  </si>
  <si>
    <t>ORD0079</t>
  </si>
  <si>
    <t>CUST0005</t>
  </si>
  <si>
    <t>ORD0080</t>
  </si>
  <si>
    <t>CUST0046</t>
  </si>
  <si>
    <t>ORD0081</t>
  </si>
  <si>
    <t>CUST0056</t>
  </si>
  <si>
    <t>ORD0082</t>
  </si>
  <si>
    <t>CUST0180</t>
  </si>
  <si>
    <t>ORD0083</t>
  </si>
  <si>
    <t>ORD0084</t>
  </si>
  <si>
    <t>CUST0119</t>
  </si>
  <si>
    <t>ORD0085</t>
  </si>
  <si>
    <t>CUST0013</t>
  </si>
  <si>
    <t>ORD0086</t>
  </si>
  <si>
    <t>ORD0087</t>
  </si>
  <si>
    <t>ORD0088</t>
  </si>
  <si>
    <t>ORD0089</t>
  </si>
  <si>
    <t>ORD0090</t>
  </si>
  <si>
    <t>CUST0079</t>
  </si>
  <si>
    <t>ORD0091</t>
  </si>
  <si>
    <t>CUST0020</t>
  </si>
  <si>
    <t>ORD0092</t>
  </si>
  <si>
    <t>CUST0077</t>
  </si>
  <si>
    <t>ORD0093</t>
  </si>
  <si>
    <t>CUST0168</t>
  </si>
  <si>
    <t>ORD0094</t>
  </si>
  <si>
    <t>CUST0095</t>
  </si>
  <si>
    <t>ORD0095</t>
  </si>
  <si>
    <t>ORD0096</t>
  </si>
  <si>
    <t>ORD0097</t>
  </si>
  <si>
    <t>CUST0089</t>
  </si>
  <si>
    <t>ORD0098</t>
  </si>
  <si>
    <t>ORD0099</t>
  </si>
  <si>
    <t>ORD0100</t>
  </si>
  <si>
    <t>CUST0155</t>
  </si>
  <si>
    <t>ORD0101</t>
  </si>
  <si>
    <t>CUST0066</t>
  </si>
  <si>
    <t>ORD0102</t>
  </si>
  <si>
    <t>ORD0103</t>
  </si>
  <si>
    <t>ORD0104</t>
  </si>
  <si>
    <t>CUST0038</t>
  </si>
  <si>
    <t>ORD0105</t>
  </si>
  <si>
    <t>ORD0106</t>
  </si>
  <si>
    <t>CUST0031</t>
  </si>
  <si>
    <t>ORD0107</t>
  </si>
  <si>
    <t>ORD0108</t>
  </si>
  <si>
    <t>ORD0109</t>
  </si>
  <si>
    <t>ORD0110</t>
  </si>
  <si>
    <t>CUST0179</t>
  </si>
  <si>
    <t>ORD0111</t>
  </si>
  <si>
    <t>CUST0154</t>
  </si>
  <si>
    <t>ORD0112</t>
  </si>
  <si>
    <t>ORD0113</t>
  </si>
  <si>
    <t>CUST0173</t>
  </si>
  <si>
    <t>Electonic</t>
  </si>
  <si>
    <t>ORD0114</t>
  </si>
  <si>
    <t>CUST0114</t>
  </si>
  <si>
    <t>ORD0115</t>
  </si>
  <si>
    <t>CUST0124</t>
  </si>
  <si>
    <t>ORD0116</t>
  </si>
  <si>
    <t>ORD0117</t>
  </si>
  <si>
    <t>CUST0092</t>
  </si>
  <si>
    <t>ORD0118</t>
  </si>
  <si>
    <t>ORD0119</t>
  </si>
  <si>
    <t>CUST0125</t>
  </si>
  <si>
    <t>ORD0120</t>
  </si>
  <si>
    <t>ORD0121</t>
  </si>
  <si>
    <t>ORD0122</t>
  </si>
  <si>
    <t>ORD0123</t>
  </si>
  <si>
    <t>CUST0022</t>
  </si>
  <si>
    <t>ORD0124</t>
  </si>
  <si>
    <t>ORD0125</t>
  </si>
  <si>
    <t>CUST0087</t>
  </si>
  <si>
    <t>ORD0126</t>
  </si>
  <si>
    <t>ORD0127</t>
  </si>
  <si>
    <t>CUST0107</t>
  </si>
  <si>
    <t>ORD0128</t>
  </si>
  <si>
    <t>ORD0129</t>
  </si>
  <si>
    <t>ORD0130</t>
  </si>
  <si>
    <t>ORD0131</t>
  </si>
  <si>
    <t>ORD0132</t>
  </si>
  <si>
    <t>ORD0133</t>
  </si>
  <si>
    <t>CUST0080</t>
  </si>
  <si>
    <t>ORD0134</t>
  </si>
  <si>
    <t>CUST0012</t>
  </si>
  <si>
    <t>ORD0135</t>
  </si>
  <si>
    <t>ORD0136</t>
  </si>
  <si>
    <t>CUST0082</t>
  </si>
  <si>
    <t>ORD0137</t>
  </si>
  <si>
    <t>CUST0045</t>
  </si>
  <si>
    <t>ORD0138</t>
  </si>
  <si>
    <t>CUST0093</t>
  </si>
  <si>
    <t>ORD0139</t>
  </si>
  <si>
    <t>ORD0140</t>
  </si>
  <si>
    <t>CUST0062</t>
  </si>
  <si>
    <t>ORD0141</t>
  </si>
  <si>
    <t>CUST0177</t>
  </si>
  <si>
    <t>ORD0142</t>
  </si>
  <si>
    <t>CUST0143</t>
  </si>
  <si>
    <t>ORD0143</t>
  </si>
  <si>
    <t>ORD0144</t>
  </si>
  <si>
    <t>CUST0072</t>
  </si>
  <si>
    <t>ORD0145</t>
  </si>
  <si>
    <t>CUST0169</t>
  </si>
  <si>
    <t>ORD0146</t>
  </si>
  <si>
    <t>CUST0122</t>
  </si>
  <si>
    <t>ORD0147</t>
  </si>
  <si>
    <t>ORD0148</t>
  </si>
  <si>
    <t>ORD0149</t>
  </si>
  <si>
    <t>ORD0150</t>
  </si>
  <si>
    <t>CUST0060</t>
  </si>
  <si>
    <t>ORD0151</t>
  </si>
  <si>
    <t>ORD0152</t>
  </si>
  <si>
    <t>CUST0059</t>
  </si>
  <si>
    <t>ORD0153</t>
  </si>
  <si>
    <t>ORD0154</t>
  </si>
  <si>
    <t>ORD0155</t>
  </si>
  <si>
    <t>ORD0156</t>
  </si>
  <si>
    <t>ORD0157</t>
  </si>
  <si>
    <t>CUST0017</t>
  </si>
  <si>
    <t>ORD0158</t>
  </si>
  <si>
    <t>ORD0159</t>
  </si>
  <si>
    <t>ORD0160</t>
  </si>
  <si>
    <t>CUST0004</t>
  </si>
  <si>
    <t>ORD0161</t>
  </si>
  <si>
    <t>ORD0162</t>
  </si>
  <si>
    <t>ORD0163</t>
  </si>
  <si>
    <t>ORD0164</t>
  </si>
  <si>
    <t>CUST0027</t>
  </si>
  <si>
    <t>ORD0165</t>
  </si>
  <si>
    <t>CUST0131</t>
  </si>
  <si>
    <t>ORD0166</t>
  </si>
  <si>
    <t>ORD0167</t>
  </si>
  <si>
    <t>ORD0168</t>
  </si>
  <si>
    <t>ORD0169</t>
  </si>
  <si>
    <t>ORD0170</t>
  </si>
  <si>
    <t>ORD0171</t>
  </si>
  <si>
    <t>CUST0103</t>
  </si>
  <si>
    <t>ORD0172</t>
  </si>
  <si>
    <t>ORD0173</t>
  </si>
  <si>
    <t>ORD0174</t>
  </si>
  <si>
    <t>ORD0175</t>
  </si>
  <si>
    <t>ORD0176</t>
  </si>
  <si>
    <t>ORD0177</t>
  </si>
  <si>
    <t>ORD0178</t>
  </si>
  <si>
    <t>CUST0094</t>
  </si>
  <si>
    <t>ORD0179</t>
  </si>
  <si>
    <t>CUST0050</t>
  </si>
  <si>
    <t>ORD0180</t>
  </si>
  <si>
    <t>CUST0162</t>
  </si>
  <si>
    <t>ORD0181</t>
  </si>
  <si>
    <t>CUST0018</t>
  </si>
  <si>
    <t>ORD0182</t>
  </si>
  <si>
    <t>CUST0078</t>
  </si>
  <si>
    <t>ORD0183</t>
  </si>
  <si>
    <t>ORD0184</t>
  </si>
  <si>
    <t>ORD0185</t>
  </si>
  <si>
    <t>ORD0186</t>
  </si>
  <si>
    <t>CUST0171</t>
  </si>
  <si>
    <t>ORD0187</t>
  </si>
  <si>
    <t>ORD0188</t>
  </si>
  <si>
    <t>ORD0189</t>
  </si>
  <si>
    <t>ORD0190</t>
  </si>
  <si>
    <t>CUST0126</t>
  </si>
  <si>
    <t>ORD0191</t>
  </si>
  <si>
    <t>ORD0192</t>
  </si>
  <si>
    <t>ORD0193</t>
  </si>
  <si>
    <t>ORD0194</t>
  </si>
  <si>
    <t>CUST0147</t>
  </si>
  <si>
    <t>ORD0195</t>
  </si>
  <si>
    <t>ORD0196</t>
  </si>
  <si>
    <t>CUST0098</t>
  </si>
  <si>
    <t>ORD0197</t>
  </si>
  <si>
    <t>ORD0198</t>
  </si>
  <si>
    <t>ORD0199</t>
  </si>
  <si>
    <t>CUST0003</t>
  </si>
  <si>
    <t>ORD0200</t>
  </si>
  <si>
    <t>ORD0201</t>
  </si>
  <si>
    <t>ORD0202</t>
  </si>
  <si>
    <t>ORD0203</t>
  </si>
  <si>
    <t>ORD0204</t>
  </si>
  <si>
    <t>ORD0205</t>
  </si>
  <si>
    <t>ORD0206</t>
  </si>
  <si>
    <t>CUST0021</t>
  </si>
  <si>
    <t>ORD0207</t>
  </si>
  <si>
    <t>ORD0208</t>
  </si>
  <si>
    <t>ORD0209</t>
  </si>
  <si>
    <t>CUST0161</t>
  </si>
  <si>
    <t>ORD0210</t>
  </si>
  <si>
    <t>ORD0211</t>
  </si>
  <si>
    <t>ORD0212</t>
  </si>
  <si>
    <t>CUST0102</t>
  </si>
  <si>
    <t>ORD0213</t>
  </si>
  <si>
    <t>CUST0136</t>
  </si>
  <si>
    <t>ORD0214</t>
  </si>
  <si>
    <t>CUST0172</t>
  </si>
  <si>
    <t>ORD0215</t>
  </si>
  <si>
    <t>ORD0216</t>
  </si>
  <si>
    <t>ORD0217</t>
  </si>
  <si>
    <t>CUST0144</t>
  </si>
  <si>
    <t>ORD0218</t>
  </si>
  <si>
    <t>CUST0108</t>
  </si>
  <si>
    <t>ORD0219</t>
  </si>
  <si>
    <t>ORD0220</t>
  </si>
  <si>
    <t>ORD0221</t>
  </si>
  <si>
    <t>ORD0222</t>
  </si>
  <si>
    <t>CUST0158</t>
  </si>
  <si>
    <t>ORD0223</t>
  </si>
  <si>
    <t>ORD0224</t>
  </si>
  <si>
    <t>complete</t>
  </si>
  <si>
    <t>ORD0225</t>
  </si>
  <si>
    <t>CUST0141</t>
  </si>
  <si>
    <t>ORD0226</t>
  </si>
  <si>
    <t>CUST0032</t>
  </si>
  <si>
    <t>ORD0227</t>
  </si>
  <si>
    <t>ORD0228</t>
  </si>
  <si>
    <t>CUST0159</t>
  </si>
  <si>
    <t>ORD0229</t>
  </si>
  <si>
    <t>ORD0230</t>
  </si>
  <si>
    <t>ORD0231</t>
  </si>
  <si>
    <t>ORD0232</t>
  </si>
  <si>
    <t>ORD0233</t>
  </si>
  <si>
    <t>ORD0234</t>
  </si>
  <si>
    <t>ORD0235</t>
  </si>
  <si>
    <t>ORD0236</t>
  </si>
  <si>
    <t>ORD0237</t>
  </si>
  <si>
    <t>ORD0238</t>
  </si>
  <si>
    <t>ORD0239</t>
  </si>
  <si>
    <t>ORD0240</t>
  </si>
  <si>
    <t>ORD0241</t>
  </si>
  <si>
    <t>CUST0111</t>
  </si>
  <si>
    <t>ORD0242</t>
  </si>
  <si>
    <t>ORD0243</t>
  </si>
  <si>
    <t>CUST0149</t>
  </si>
  <si>
    <t>ORD0244</t>
  </si>
  <si>
    <t>CUST0011</t>
  </si>
  <si>
    <t>ORD0245</t>
  </si>
  <si>
    <t>ORD0246</t>
  </si>
  <si>
    <t>ORD0247</t>
  </si>
  <si>
    <t>ORD0248</t>
  </si>
  <si>
    <t>ORD0249</t>
  </si>
  <si>
    <t>CUST0044</t>
  </si>
  <si>
    <t>ORD0250</t>
  </si>
  <si>
    <t>CUST0157</t>
  </si>
  <si>
    <t>ORD0251</t>
  </si>
  <si>
    <t>ORD0252</t>
  </si>
  <si>
    <t>ORD0253</t>
  </si>
  <si>
    <t>ORD0254</t>
  </si>
  <si>
    <t>CUST0070</t>
  </si>
  <si>
    <t>ORD0255</t>
  </si>
  <si>
    <t>ORD0256</t>
  </si>
  <si>
    <t>ORD0257</t>
  </si>
  <si>
    <t>ORD0258</t>
  </si>
  <si>
    <t>ORD0259</t>
  </si>
  <si>
    <t>ORD0260</t>
  </si>
  <si>
    <t>ORD0261</t>
  </si>
  <si>
    <t>ORD0262</t>
  </si>
  <si>
    <t>ORD0263</t>
  </si>
  <si>
    <t>ORD0264</t>
  </si>
  <si>
    <t>ORD0265</t>
  </si>
  <si>
    <t>CUST0174</t>
  </si>
  <si>
    <t>ORD0266</t>
  </si>
  <si>
    <t>ORD0267</t>
  </si>
  <si>
    <t>ORD0268</t>
  </si>
  <si>
    <t>CUST0178</t>
  </si>
  <si>
    <t>ORD0269</t>
  </si>
  <si>
    <t>ORD0270</t>
  </si>
  <si>
    <t>ORD0271</t>
  </si>
  <si>
    <t>ORD0272</t>
  </si>
  <si>
    <t>ORD0273</t>
  </si>
  <si>
    <t>CUST0074</t>
  </si>
  <si>
    <t>ORD0274</t>
  </si>
  <si>
    <t>ORD0275</t>
  </si>
  <si>
    <t>ORD0276</t>
  </si>
  <si>
    <t>ORD0277</t>
  </si>
  <si>
    <t>ORD0278</t>
  </si>
  <si>
    <t>ORD0279</t>
  </si>
  <si>
    <t>Home &amp; Living</t>
  </si>
  <si>
    <t>ORD0280</t>
  </si>
  <si>
    <t>ORD0281</t>
  </si>
  <si>
    <t>ORD0282</t>
  </si>
  <si>
    <t>ORD0283</t>
  </si>
  <si>
    <t>ORD0284</t>
  </si>
  <si>
    <t>CUST0009</t>
  </si>
  <si>
    <t>ORD0285</t>
  </si>
  <si>
    <t>ORD0286</t>
  </si>
  <si>
    <t>ORD0287</t>
  </si>
  <si>
    <t>ORD0288</t>
  </si>
  <si>
    <t>CUST0156</t>
  </si>
  <si>
    <t>ORD0289</t>
  </si>
  <si>
    <t>CUST0153</t>
  </si>
  <si>
    <t>ORD0290</t>
  </si>
  <si>
    <t>CUST0137</t>
  </si>
  <si>
    <t>ORD0291</t>
  </si>
  <si>
    <t>ORD0292</t>
  </si>
  <si>
    <t>ORD0293</t>
  </si>
  <si>
    <t>CUST0028</t>
  </si>
  <si>
    <t>ORD0294</t>
  </si>
  <si>
    <t>ORD0295</t>
  </si>
  <si>
    <t>ORD0296</t>
  </si>
  <si>
    <t>CUST0110</t>
  </si>
  <si>
    <t>ORD0297</t>
  </si>
  <si>
    <t>ORD0298</t>
  </si>
  <si>
    <t>ORD0299</t>
  </si>
  <si>
    <t>ORD0300</t>
  </si>
  <si>
    <t>ORD0301</t>
  </si>
  <si>
    <t>ORD0302</t>
  </si>
  <si>
    <t>ORD0303</t>
  </si>
  <si>
    <t>ORD0304</t>
  </si>
  <si>
    <t>ORD0305</t>
  </si>
  <si>
    <t>ORD0306</t>
  </si>
  <si>
    <t>ORD0307</t>
  </si>
  <si>
    <t>ORD0308</t>
  </si>
  <si>
    <t>ORD0309</t>
  </si>
  <si>
    <t>ORD0310</t>
  </si>
  <si>
    <t>ORD0311</t>
  </si>
  <si>
    <t>CUST0105</t>
  </si>
  <si>
    <t>ORD0312</t>
  </si>
  <si>
    <t>ORD0313</t>
  </si>
  <si>
    <t>ORD0314</t>
  </si>
  <si>
    <t>ORD0315</t>
  </si>
  <si>
    <t>ORD0316</t>
  </si>
  <si>
    <t>ORD0317</t>
  </si>
  <si>
    <t>ORD0318</t>
  </si>
  <si>
    <t>ORD0319</t>
  </si>
  <si>
    <t>CUST0116</t>
  </si>
  <si>
    <t>ORD0320</t>
  </si>
  <si>
    <t>ORD0321</t>
  </si>
  <si>
    <t>ORD0322</t>
  </si>
  <si>
    <t>ORD0323</t>
  </si>
  <si>
    <t>ORD0324</t>
  </si>
  <si>
    <t>ORD0325</t>
  </si>
  <si>
    <t>ORD0326</t>
  </si>
  <si>
    <t>ORD0327</t>
  </si>
  <si>
    <t>CUST0019</t>
  </si>
  <si>
    <t>ORD0328</t>
  </si>
  <si>
    <t>ORD0329</t>
  </si>
  <si>
    <t>ORD0330</t>
  </si>
  <si>
    <t>ORD0331</t>
  </si>
  <si>
    <t>ORD0332</t>
  </si>
  <si>
    <t>ORD0333</t>
  </si>
  <si>
    <t>ORD0334</t>
  </si>
  <si>
    <t>ORD0335</t>
  </si>
  <si>
    <t>CUST0152</t>
  </si>
  <si>
    <t>ORD0336</t>
  </si>
  <si>
    <t>ORD0337</t>
  </si>
  <si>
    <t>ORD0338</t>
  </si>
  <si>
    <t>ORD0339</t>
  </si>
  <si>
    <t>ORD0340</t>
  </si>
  <si>
    <t>ORD0341</t>
  </si>
  <si>
    <t>ORD0342</t>
  </si>
  <si>
    <t>CUST0025</t>
  </si>
  <si>
    <t>ORD0343</t>
  </si>
  <si>
    <t>ORD0344</t>
  </si>
  <si>
    <t>ORD0345</t>
  </si>
  <si>
    <t>ORD0346</t>
  </si>
  <si>
    <t>CUST0088</t>
  </si>
  <si>
    <t>ORD0347</t>
  </si>
  <si>
    <t>ORD0348</t>
  </si>
  <si>
    <t>ORD0349</t>
  </si>
  <si>
    <t>ORD0350</t>
  </si>
  <si>
    <t>ORD0351</t>
  </si>
  <si>
    <t>ORD0352</t>
  </si>
  <si>
    <t>ORD0353</t>
  </si>
  <si>
    <t>ORD0354</t>
  </si>
  <si>
    <t>ORD0355</t>
  </si>
  <si>
    <t>ORD0356</t>
  </si>
  <si>
    <t>ORD0357</t>
  </si>
  <si>
    <t>not_available</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</si>
  <si>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</si>
  <si>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</si>
  <si>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</si>
  <si>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</si>
  <si>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</si>
  <si>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</si>
  <si>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</si>
  <si>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</si>
  <si>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</si>
  <si>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</si>
  <si>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</si>
  <si>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</si>
  <si>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</si>
  <si>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</si>
  <si>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</si>
  <si>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</si>
  <si>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</si>
  <si>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</si>
  <si>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</si>
  <si>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</si>
  <si>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</si>
  <si>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</si>
  <si>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CUST0068</t>
  </si>
  <si>
    <t>ORD0380</t>
  </si>
  <si>
    <t>ORD0381</t>
  </si>
  <si>
    <t>ORD0382</t>
  </si>
  <si>
    <t>CUST0133</t>
  </si>
  <si>
    <t>ORD0383</t>
  </si>
  <si>
    <t>CUST0112</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</si>
  <si>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</si>
  <si>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</si>
  <si>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</si>
  <si>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</si>
  <si>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</si>
  <si>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</si>
  <si>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</si>
  <si>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</si>
  <si>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</si>
  <si>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</si>
  <si>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</si>
  <si>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</si>
  <si>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</si>
  <si>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</si>
  <si>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</si>
  <si>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</si>
  <si>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</si>
  <si>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</si>
  <si>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CUST0057</t>
  </si>
  <si>
    <t>ORD0402</t>
  </si>
  <si>
    <t>ORD0403</t>
  </si>
  <si>
    <t>ORD0404</t>
  </si>
  <si>
    <t>ORD0405</t>
  </si>
  <si>
    <t>ORD0406</t>
  </si>
  <si>
    <t>ORD0407</t>
  </si>
  <si>
    <t>CUST0148</t>
  </si>
  <si>
    <t>ORD0408</t>
  </si>
  <si>
    <t>ORD0409</t>
  </si>
  <si>
    <t>ORD0410</t>
  </si>
  <si>
    <t>ORD0411</t>
  </si>
  <si>
    <t>ORD0412</t>
  </si>
  <si>
    <t>ORD0413</t>
  </si>
  <si>
    <t>ORD0414</t>
  </si>
  <si>
    <t>ORD0415</t>
  </si>
  <si>
    <t>ORD0416</t>
  </si>
  <si>
    <t>ORD0417</t>
  </si>
  <si>
    <t>CUST0065</t>
  </si>
  <si>
    <t>ORD0418</t>
  </si>
  <si>
    <t>ORD0419</t>
  </si>
  <si>
    <t>ORD0420</t>
  </si>
  <si>
    <t>ORD0421</t>
  </si>
  <si>
    <t>ORD0422</t>
  </si>
  <si>
    <t>ORD0423</t>
  </si>
  <si>
    <t>ORD0424</t>
  </si>
  <si>
    <t>ORD0425</t>
  </si>
  <si>
    <t>ORD0426</t>
  </si>
  <si>
    <t>ORD0427</t>
  </si>
  <si>
    <t>CUST0127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</si>
  <si>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</si>
  <si>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</si>
  <si>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</si>
  <si>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</si>
  <si>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</si>
  <si>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</si>
  <si>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</si>
  <si>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</si>
  <si>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</si>
  <si>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</si>
  <si>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</si>
  <si>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</si>
  <si>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</si>
  <si>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</si>
  <si>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</si>
  <si>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</si>
  <si>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</si>
  <si>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CUST0064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</si>
  <si>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</si>
  <si>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</si>
  <si>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</si>
  <si>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</si>
  <si>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</si>
  <si>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</si>
  <si>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</si>
  <si>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</si>
  <si>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</si>
  <si>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</si>
  <si>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</si>
  <si>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</si>
  <si>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</si>
  <si>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</si>
  <si>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</si>
  <si>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</si>
  <si>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</si>
  <si>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</si>
  <si>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</si>
  <si>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</si>
  <si>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2026-02-15</t>
  </si>
  <si>
    <t>ORD0465</t>
  </si>
  <si>
    <t>ORD0466</t>
  </si>
  <si>
    <t>ORD0467</t>
  </si>
  <si>
    <t>ORD0468</t>
  </si>
  <si>
    <t>ORD0469</t>
  </si>
  <si>
    <t>ORD0470</t>
  </si>
  <si>
    <t>ORD0471</t>
  </si>
  <si>
    <t>ORD0472</t>
  </si>
  <si>
    <t>ORD0473</t>
  </si>
  <si>
    <t>ORD0474</t>
  </si>
  <si>
    <t>ORD0475</t>
  </si>
  <si>
    <t>ORD0476</t>
  </si>
  <si>
    <t>ORD0477</t>
  </si>
  <si>
    <t>CUST0081</t>
  </si>
  <si>
    <t>ORD0478</t>
  </si>
  <si>
    <t>ORD0479</t>
  </si>
  <si>
    <t>CUST0150</t>
  </si>
  <si>
    <t>ORD0480</t>
  </si>
  <si>
    <t>ORD0481</t>
  </si>
  <si>
    <t>ORD0482</t>
  </si>
  <si>
    <t>ORD0483</t>
  </si>
  <si>
    <t>ORD0484</t>
  </si>
  <si>
    <t>CUST0016</t>
  </si>
  <si>
    <t>ORD0485</t>
  </si>
  <si>
    <t>ORD0486</t>
  </si>
  <si>
    <t>ORD0487</t>
  </si>
  <si>
    <t>ORD0488</t>
  </si>
  <si>
    <t>ORD0489</t>
  </si>
  <si>
    <t>ORD0490</t>
  </si>
  <si>
    <t>CUST0165</t>
  </si>
  <si>
    <t>ORD0491</t>
  </si>
  <si>
    <t>ORD0492</t>
  </si>
  <si>
    <t>ORD0493</t>
  </si>
  <si>
    <t>ORD0494</t>
  </si>
  <si>
    <t>ORD0495</t>
  </si>
  <si>
    <t>ORD0496</t>
  </si>
  <si>
    <t>ORD0497</t>
  </si>
  <si>
    <t>ORD0498</t>
  </si>
  <si>
    <t>ORD0499</t>
  </si>
  <si>
    <t>ORD0500</t>
  </si>
  <si>
    <t>Field</t>
  </si>
  <si>
    <t>Description</t>
  </si>
  <si>
    <t>Unique order identifier</t>
  </si>
  <si>
    <t>Date the order was placed</t>
  </si>
  <si>
    <t>Customer identifier</t>
  </si>
  <si>
    <t>Product purchased</t>
  </si>
  <si>
    <t>Product category</t>
  </si>
  <si>
    <t>Customer/order region</t>
  </si>
  <si>
    <t>Number of units ordered</t>
  </si>
  <si>
    <t>Price per unit before discount</t>
  </si>
  <si>
    <t>Discount applied as a decimal</t>
  </si>
  <si>
    <t>Recorded revenue for the order</t>
  </si>
  <si>
    <t>Recorded cost associated with the order</t>
  </si>
  <si>
    <t>Recorded profit for the order</t>
  </si>
  <si>
    <t>Current order status</t>
  </si>
  <si>
    <t xml:space="preserve"> = max</t>
  </si>
  <si>
    <t>Expected_Revenue</t>
  </si>
  <si>
    <t xml:space="preserve">New_profit </t>
  </si>
  <si>
    <t>OK</t>
  </si>
  <si>
    <t>Mismatch</t>
  </si>
  <si>
    <t>Orders</t>
  </si>
  <si>
    <t>AOV</t>
  </si>
  <si>
    <t>Grand Total</t>
  </si>
  <si>
    <t>Row Labels</t>
  </si>
  <si>
    <t>Sum of Revenue</t>
  </si>
  <si>
    <t>Count of Order_ID</t>
  </si>
  <si>
    <t>Analysis_Date</t>
  </si>
  <si>
    <t>Year_Month</t>
  </si>
  <si>
    <t>2025-01</t>
  </si>
  <si>
    <t>2025-02</t>
  </si>
  <si>
    <t>2025-03</t>
  </si>
  <si>
    <t>2025-04</t>
  </si>
  <si>
    <t>2025-05</t>
  </si>
  <si>
    <t>2025-06</t>
  </si>
  <si>
    <t>2025-07</t>
  </si>
  <si>
    <t>2025-08</t>
  </si>
  <si>
    <t>2025-09</t>
  </si>
  <si>
    <t>2025-10</t>
  </si>
  <si>
    <t>2025-11</t>
  </si>
  <si>
    <t>2025-12</t>
  </si>
  <si>
    <t>Sum of Profit</t>
  </si>
  <si>
    <t>profit margin</t>
  </si>
  <si>
    <t>Group</t>
  </si>
  <si>
    <t>No Discount</t>
  </si>
  <si>
    <t>Low Discount</t>
  </si>
  <si>
    <t>Medium Discount</t>
  </si>
  <si>
    <t>High Discount</t>
  </si>
  <si>
    <t>Very High Discount</t>
  </si>
  <si>
    <t>(blank)</t>
  </si>
  <si>
    <t>Total Revenue</t>
  </si>
  <si>
    <t>Total Orders</t>
  </si>
  <si>
    <t>Total Quantity</t>
  </si>
  <si>
    <t>Recorded Profit</t>
  </si>
  <si>
    <t>Profit Margin</t>
  </si>
  <si>
    <t>E-Commerce Sales &amp; Profitability Dashboard</t>
  </si>
  <si>
    <t xml:space="preserve">Data Note: </t>
  </si>
  <si>
    <t>Monthly revenue analysis includes 497 transactions with valid dates in 2025. Two additional transactions remain in the cleaned dataset but are excluded from monthly analysis because their dates are invalid or unavailable. Total revenue across all 499 transactions is $131,404.67; monthly revenue totals $130,068.79.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</si>
</sst>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hh:mm:ss"/>
    <numFmt numFmtId="165" formatCode="[$-14009]dd/mm/yyyy;@"/>
    <numFmt numFmtId="166" formatCode="[$$-1009]#,##0.00"/>
  </numFmts>
  <fonts count="9">
    <font>
      <sz val="11"/>
      <color theme="1"/>
      <name val="Calibri"/>
      <family val="2"/>
      <scheme val="minor"/>
    </font>
    <font>
      <b/>
      <sz val="11"/>
      <name val="Calibri"/>
    </font>
    <font>
      <sz val="11"/>
      <color rgb="FFFF0000"/>
      <name val="Calibri"/>
      <family val="2"/>
      <scheme val="minor"/>
    </font>
    <font>
      <b/>
      <sz val="11"/>
      <name val="Calibri"/>
      <family val="2"/>
    </font>
    <font>
      <b/>
      <sz val="11"/>
      <color theme="1"/>
      <name val="Calibri"/>
      <family val="2"/>
      <scheme val="minor"/>
    </font>
    <font>
      <sz val="11"/>
      <name val="Calibri"/>
      <family val="2"/>
      <scheme val="minor"/>
    </font>
    <font>
      <b/>
      <sz val="11"/>
      <color theme="1"/>
      <name val="Cambria"/>
      <family val="1"/>
      <scheme val="major"/>
    </font>
    <font>
      <sz val="20"/>
      <color theme="1"/>
      <name val="Calibri"/>
      <family val="2"/>
      <scheme val="minor"/>
    </font>
    <font>
      <sz val="10"/>
      <color theme="1"/>
      <name val="Arial Unicode MS"/>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0"/>
      </left>
      <right/>
      <top style="thin">
        <color theme="0"/>
      </top>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s>
  <cellStyleXfs count="1">
    <xf numFmtId="0" fontId="0" fillId="0" borderId="0"/>
  </cellStyleXfs>
  <cellXfs count="57">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2" fillId="0" borderId="0" xfId="0" applyFont="1"/>
    <xf numFmtId="164" fontId="2" fillId="0" borderId="0" xfId="0" applyNumberFormat="1" applyFont="1"/>
    <xf numFmtId="0" fontId="3" fillId="0" borderId="2" xfId="0" applyFont="1" applyBorder="1" applyAlignment="1">
      <alignment horizontal="center" vertical="top"/>
    </xf>
    <xf numFmtId="0" fontId="0" fillId="0" borderId="0" xfId="0" applyNumberFormat="1"/>
    <xf numFmtId="0" fontId="2" fillId="0" borderId="0" xfId="0" applyNumberFormat="1" applyFont="1"/>
    <xf numFmtId="0" fontId="3" fillId="2" borderId="2" xfId="0" applyFont="1" applyFill="1" applyBorder="1" applyAlignment="1">
      <alignment horizontal="center" vertical="top"/>
    </xf>
    <xf numFmtId="164" fontId="0" fillId="3" borderId="3" xfId="0" applyNumberFormat="1" applyFont="1" applyFill="1" applyBorder="1"/>
    <xf numFmtId="0" fontId="0" fillId="3" borderId="3" xfId="0" applyFont="1" applyFill="1" applyBorder="1"/>
    <xf numFmtId="164" fontId="0" fillId="4" borderId="5" xfId="0" applyNumberFormat="1" applyFont="1" applyFill="1" applyBorder="1"/>
    <xf numFmtId="0" fontId="0" fillId="4" borderId="5" xfId="0" applyFont="1" applyFill="1" applyBorder="1"/>
    <xf numFmtId="0" fontId="0" fillId="4" borderId="7" xfId="0" applyNumberFormat="1" applyFont="1" applyFill="1" applyBorder="1"/>
    <xf numFmtId="0" fontId="0" fillId="4" borderId="6" xfId="0" applyFont="1" applyFill="1" applyBorder="1"/>
    <xf numFmtId="0" fontId="0" fillId="4" borderId="3" xfId="0" applyFont="1" applyFill="1" applyBorder="1"/>
    <xf numFmtId="0" fontId="0" fillId="4" borderId="8" xfId="0" applyNumberFormat="1" applyFont="1" applyFill="1" applyBorder="1"/>
    <xf numFmtId="0" fontId="0" fillId="3" borderId="8" xfId="0" applyNumberFormat="1" applyFont="1" applyFill="1" applyBorder="1"/>
    <xf numFmtId="164" fontId="0" fillId="4" borderId="3" xfId="0" applyNumberFormat="1" applyFont="1" applyFill="1" applyBorder="1"/>
    <xf numFmtId="0" fontId="0" fillId="3" borderId="4" xfId="0" applyFont="1" applyFill="1" applyBorder="1"/>
    <xf numFmtId="0" fontId="0" fillId="4" borderId="4" xfId="0" applyFont="1" applyFill="1" applyBorder="1"/>
    <xf numFmtId="0" fontId="5" fillId="4" borderId="4" xfId="0" applyFont="1" applyFill="1" applyBorder="1"/>
    <xf numFmtId="164" fontId="5" fillId="4" borderId="3" xfId="0" applyNumberFormat="1" applyFont="1" applyFill="1" applyBorder="1"/>
    <xf numFmtId="0" fontId="5" fillId="4" borderId="3" xfId="0" applyFont="1" applyFill="1" applyBorder="1"/>
    <xf numFmtId="0" fontId="5" fillId="4" borderId="8" xfId="0" applyNumberFormat="1" applyFont="1" applyFill="1" applyBorder="1"/>
    <xf numFmtId="0" fontId="4" fillId="0" borderId="0" xfId="0" applyFont="1" applyAlignment="1">
      <alignment horizontal="center" vertical="center" wrapText="1"/>
    </xf>
    <xf numFmtId="0" fontId="0" fillId="0" borderId="0" xfId="0" applyAlignment="1">
      <alignment horizontal="right" vertical="center" wrapText="1"/>
    </xf>
    <xf numFmtId="0" fontId="4" fillId="0" borderId="0" xfId="0" applyFont="1" applyAlignment="1">
      <alignment horizontal="right" vertical="center" wrapText="1"/>
    </xf>
    <xf numFmtId="0" fontId="0" fillId="0" borderId="0" xfId="0" applyAlignment="1">
      <alignment vertical="center" wrapText="1"/>
    </xf>
    <xf numFmtId="0" fontId="0" fillId="4" borderId="3" xfId="0" applyFont="1" applyFill="1" applyBorder="1" applyAlignment="1">
      <alignment horizontal="right" vertical="center" wrapText="1"/>
    </xf>
    <xf numFmtId="0" fontId="0" fillId="0" borderId="0" xfId="0" pivotButton="1"/>
    <xf numFmtId="14" fontId="0" fillId="0" borderId="0" xfId="0" applyNumberFormat="1"/>
    <xf numFmtId="0" fontId="0" fillId="0" borderId="0" xfId="0" applyAlignment="1">
      <alignment horizontal="left"/>
    </xf>
    <xf numFmtId="165" fontId="0" fillId="4" borderId="9" xfId="0" applyNumberFormat="1" applyFont="1" applyFill="1" applyBorder="1"/>
    <xf numFmtId="165" fontId="0" fillId="4" borderId="3" xfId="0" applyNumberFormat="1" applyFont="1" applyFill="1" applyBorder="1"/>
    <xf numFmtId="165" fontId="3" fillId="2" borderId="2" xfId="0" applyNumberFormat="1" applyFont="1" applyFill="1" applyBorder="1" applyAlignment="1">
      <alignment horizontal="center" vertical="top"/>
    </xf>
    <xf numFmtId="165" fontId="0" fillId="4" borderId="5" xfId="0" applyNumberFormat="1" applyFont="1" applyFill="1" applyBorder="1"/>
    <xf numFmtId="165" fontId="0" fillId="0" borderId="0" xfId="0" applyNumberFormat="1"/>
    <xf numFmtId="0" fontId="0" fillId="4" borderId="9" xfId="0" applyFont="1" applyFill="1" applyBorder="1" applyAlignment="1">
      <alignment horizontal="right" vertical="center" wrapText="1"/>
    </xf>
    <xf numFmtId="2" fontId="0" fillId="0" borderId="0" xfId="0" applyNumberFormat="1"/>
    <xf numFmtId="10" fontId="0" fillId="0" borderId="0" xfId="0" applyNumberFormat="1"/>
    <xf numFmtId="9" fontId="0" fillId="0" borderId="0" xfId="0" applyNumberFormat="1"/>
    <xf numFmtId="9" fontId="0" fillId="0" borderId="0" xfId="0" applyNumberFormat="1" applyAlignment="1">
      <alignment horizontal="right" vertical="center" wrapText="1"/>
    </xf>
    <xf numFmtId="0" fontId="6" fillId="0" borderId="0" xfId="0" applyFont="1" applyAlignment="1">
      <alignment horizontal="center"/>
    </xf>
    <xf numFmtId="0" fontId="0" fillId="0" borderId="0" xfId="0" applyAlignment="1">
      <alignment horizontal="center"/>
    </xf>
    <xf numFmtId="10" fontId="0" fillId="0" borderId="0" xfId="0" applyNumberFormat="1" applyAlignment="1">
      <alignment horizontal="center"/>
    </xf>
    <xf numFmtId="166" fontId="0" fillId="0" borderId="0" xfId="0" applyNumberFormat="1" applyAlignment="1">
      <alignment horizontal="center"/>
    </xf>
    <xf numFmtId="0" fontId="3" fillId="2" borderId="0" xfId="0" applyFont="1" applyFill="1" applyBorder="1" applyAlignment="1">
      <alignment horizontal="center" vertical="top"/>
    </xf>
    <xf numFmtId="0" fontId="0" fillId="4" borderId="0" xfId="0" applyFont="1" applyFill="1" applyBorder="1" applyAlignment="1">
      <alignment horizontal="right" vertical="center" wrapText="1"/>
    </xf>
    <xf numFmtId="0" fontId="0" fillId="4" borderId="0" xfId="0" applyFont="1" applyFill="1" applyBorder="1"/>
    <xf numFmtId="0" fontId="8" fillId="0" borderId="0" xfId="0" applyFont="1"/>
    <xf numFmtId="0" fontId="7" fillId="5" borderId="0" xfId="0" applyFont="1" applyFill="1" applyAlignment="1">
      <alignment horizontal="center"/>
    </xf>
    <xf numFmtId="0" fontId="0" fillId="5" borderId="0" xfId="0" applyFont="1" applyFill="1" applyAlignment="1">
      <alignment horizontal="center"/>
    </xf>
    <xf numFmtId="4" fontId="8" fillId="0" borderId="0" xfId="0" applyNumberFormat="1" applyFont="1"/>
    <xf numFmtId="0" fontId="0" fillId="0" borderId="0" xfId="0" applyAlignment="1">
      <alignment horizontal="center"/>
    </xf>
    <xf numFmtId="0" fontId="0" fillId="0" borderId="0" xfId="0" applyAlignment="1">
      <alignment horizontal="center" wrapText="1"/>
    </xf>
  </cellXfs>
  <cellStyles count="1">
    <cellStyle name="Normal" xfId="0" builtinId="0"/>
  </cellStyles>
  <dxfs count="35">
    <dxf>
      <numFmt numFmtId="19" formatCode="dd/mm/yyyy"/>
    </dxf>
    <dxf>
      <numFmt numFmtId="19" formatCode="dd/mm/yyyy"/>
    </dxf>
    <dxf>
      <alignment horizontal="right"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right" vertical="center"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numFmt numFmtId="165" formatCode="[$-14009]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numFmt numFmtId="164" formatCode="yyyy\-mm\-dd\ hh:mm:ss"/>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auto="1"/>
        </top>
        <bottom style="thin">
          <color theme="0"/>
        </bottom>
      </border>
    </dxf>
    <dxf>
      <font>
        <b val="0"/>
        <i val="0"/>
        <strike val="0"/>
        <condense val="0"/>
        <extend val="0"/>
        <outline val="0"/>
        <shadow val="0"/>
        <u val="none"/>
        <vertAlign val="baseline"/>
        <sz val="11"/>
        <color theme="1"/>
        <name val="Calibri"/>
        <scheme val="minor"/>
      </font>
      <fill>
        <patternFill patternType="solid">
          <fgColor theme="4" tint="0.59999389629810485"/>
          <bgColor theme="4" tint="0.59999389629810485"/>
        </patternFill>
      </fill>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
      <numFmt numFmtId="0" formatCode="General"/>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[SuperStore_Portfolio_Final.xlsx]month!PivotTable1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month!$A$4:$A$16</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month!$B$4:$B$16</c:f>
              <c:numCache>
                <c:formatCode>General</c:formatCode>
                <c:ptCount val="12"/>
                <c:pt idx="0">
                  <c:v>8292.4200000000019</c:v>
                </c:pt>
                <c:pt idx="1">
                  <c:v>13062.06</c:v>
                </c:pt>
                <c:pt idx="2">
                  <c:v>11317.819999999998</c:v>
                </c:pt>
                <c:pt idx="3">
                  <c:v>14120.430000000004</c:v>
                </c:pt>
                <c:pt idx="4">
                  <c:v>7777.8899999999994</c:v>
                </c:pt>
                <c:pt idx="5">
                  <c:v>13413.809999999998</c:v>
                </c:pt>
                <c:pt idx="6">
                  <c:v>7243.97</c:v>
                </c:pt>
                <c:pt idx="7">
                  <c:v>10452.930000000002</c:v>
                </c:pt>
                <c:pt idx="8">
                  <c:v>10120.620000000001</c:v>
                </c:pt>
                <c:pt idx="9">
                  <c:v>10579.1</c:v>
                </c:pt>
                <c:pt idx="10">
                  <c:v>11858.72</c:v>
                </c:pt>
                <c:pt idx="11">
                  <c:v>11829.02</c:v>
                </c:pt>
              </c:numCache>
            </c:numRef>
          </c:val>
          <c:smooth val="0"/>
          <c:extLst>
            <c:ext xmlns:c16="http://schemas.microsoft.com/office/drawing/2014/chart" uri="{C3380CC4-5D6E-409C-BE32-E72D297353CC}">
              <c16:uniqueId val="{00000000-5D5A-448C-982D-A9C88919DD1C}"/>
            </c:ext>
          </c:extLst>
        </c:ser>
        <c:dLbls>
          <c:showLegendKey val="0"/>
          <c:showVal val="0"/>
          <c:showCatName val="0"/>
          <c:showSerName val="0"/>
          <c:showPercent val="0"/>
          <c:showBubbleSize val="0"/>
        </c:dLbls>
        <c:marker val="1"/>
        <c:smooth val="0"/>
        <c:axId val="1279166656"/>
        <c:axId val="1279180384"/>
      </c:lineChart>
      <c:catAx>
        <c:axId val="127916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180384"/>
        <c:crosses val="autoZero"/>
        <c:auto val="1"/>
        <c:lblAlgn val="ctr"/>
        <c:lblOffset val="100"/>
        <c:noMultiLvlLbl val="0"/>
      </c:catAx>
      <c:valAx>
        <c:axId val="127918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166656"/>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[SuperStore_Portfolio_Final.xlsx]Region!PivotTable6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Region!$A$4:$A$8</c:f>
              <c:strCache>
                <c:ptCount val="4"/>
                <c:pt idx="0">
                  <c:v>North</c:v>
                </c:pt>
                <c:pt idx="1">
                  <c:v>East</c:v>
                </c:pt>
                <c:pt idx="2">
                  <c:v>West</c:v>
                </c:pt>
                <c:pt idx="3">
                  <c:v>South</c:v>
                </c:pt>
              </c:strCache>
            </c:strRef>
          </c:cat>
          <c:val>
            <c:numRef>
              <c:f>Region!$B$4:$B$8</c:f>
              <c:numCache>
                <c:formatCode>General</c:formatCode>
                <c:ptCount val="4"/>
                <c:pt idx="0">
                  <c:v>37909.910000000003</c:v>
                </c:pt>
                <c:pt idx="1">
                  <c:v>33865.090000000004</c:v>
                </c:pt>
                <c:pt idx="2">
                  <c:v>31616.589999999997</c:v>
                </c:pt>
                <c:pt idx="3">
                  <c:v>27984.06</c:v>
                </c:pt>
              </c:numCache>
            </c:numRef>
          </c:val>
          <c:extLst>
            <c:ext xmlns:c16="http://schemas.microsoft.com/office/drawing/2014/chart" uri="{C3380CC4-5D6E-409C-BE32-E72D297353CC}">
              <c16:uniqueId val="{00000000-EFF5-4EE1-AC3F-F3882D282749}"/>
            </c:ext>
          </c:extLst>
        </c:ser>
        <c:dLbls>
          <c:dLblPos val="outEnd"/>
          <c:showLegendKey val="0"/>
          <c:showVal val="1"/>
          <c:showCatName val="0"/>
          <c:showSerName val="0"/>
          <c:showPercent val="0"/>
          <c:showBubbleSize val="0"/>
        </c:dLbls>
        <c:gapWidth val="219"/>
        <c:overlap val="-27"/>
        <c:axId val="1190139360"/>
        <c:axId val="1190143936"/>
      </c:barChart>
      <c:catAx>
        <c:axId val="119013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143936"/>
        <c:crosses val="autoZero"/>
        <c:auto val="1"/>
        <c:lblAlgn val="ctr"/>
        <c:lblOffset val="100"/>
        <c:noMultiLvlLbl val="0"/>
      </c:catAx>
      <c:valAx>
        <c:axId val="119014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139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[SuperStore_Portfolio_Final.xlsx]Category!PivotTable2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Category!$B$3</c:f>
              <c:strCache>
                <c:ptCount val="1"/>
                <c:pt idx="0">
                  <c:v>Total</c:v>
                </c:pt>
              </c:strCache>
            </c:strRef>
          </c:tx>
          <c:spPr>
            <a:solidFill>
              <a:schemeClr val="accent1"/>
            </a:solidFill>
            <a:ln>
              <a:noFill/>
            </a:ln>
            <a:effectLst/>
          </c:spPr>
          <c:invertIfNegative val="0"/>
          <c:cat>
            <c:strRef>
              <c:f>Category!$A$4:$A$9</c:f>
              <c:strCache>
                <c:ptCount val="5"/>
                <c:pt idx="0">
                  <c:v>Accessories</c:v>
                </c:pt>
                <c:pt idx="1">
                  <c:v>Stationery</c:v>
                </c:pt>
                <c:pt idx="2">
                  <c:v>Electronics</c:v>
                </c:pt>
                <c:pt idx="3">
                  <c:v>Home</c:v>
                </c:pt>
                <c:pt idx="4">
                  <c:v>Home &amp; Living</c:v>
                </c:pt>
              </c:strCache>
            </c:strRef>
          </c:cat>
          <c:val>
            <c:numRef>
              <c:f>Category!$B$4:$B$9</c:f>
              <c:numCache>
                <c:formatCode>General</c:formatCode>
                <c:ptCount val="5"/>
                <c:pt idx="0">
                  <c:v>33911.279999999984</c:v>
                </c:pt>
                <c:pt idx="1">
                  <c:v>33325.19</c:v>
                </c:pt>
                <c:pt idx="2">
                  <c:v>32631.580000000005</c:v>
                </c:pt>
                <c:pt idx="3">
                  <c:v>30983.46</c:v>
                </c:pt>
                <c:pt idx="4">
                  <c:v>553.16</c:v>
                </c:pt>
              </c:numCache>
            </c:numRef>
          </c:val>
          <c:extLst>
            <c:ext xmlns:c16="http://schemas.microsoft.com/office/drawing/2014/chart" uri="{C3380CC4-5D6E-409C-BE32-E72D297353CC}">
              <c16:uniqueId val="{00000000-0331-421F-869C-55BD740B6730}"/>
            </c:ext>
          </c:extLst>
        </c:ser>
        <c:dLbls>
          <c:showLegendKey val="0"/>
          <c:showVal val="0"/>
          <c:showCatName val="0"/>
          <c:showSerName val="0"/>
          <c:showPercent val="0"/>
          <c:showBubbleSize val="0"/>
        </c:dLbls>
        <c:gapWidth val="219"/>
        <c:overlap val="-27"/>
        <c:axId val="1190139776"/>
        <c:axId val="1190141440"/>
      </c:barChart>
      <c:catAx>
        <c:axId val="119013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141440"/>
        <c:crosses val="autoZero"/>
        <c:auto val="1"/>
        <c:lblAlgn val="ctr"/>
        <c:lblOffset val="100"/>
        <c:noMultiLvlLbl val="0"/>
      </c:catAx>
      <c:valAx>
        <c:axId val="119014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139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[SuperStore_Portfolio_Final.xlsx]products!PivotTable7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 Revenue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products!$B$3</c:f>
              <c:strCache>
                <c:ptCount val="1"/>
                <c:pt idx="0">
                  <c:v>Total</c:v>
                </c:pt>
              </c:strCache>
            </c:strRef>
          </c:tx>
          <c:spPr>
            <a:solidFill>
              <a:schemeClr val="accent1"/>
            </a:solidFill>
            <a:ln>
              <a:noFill/>
            </a:ln>
            <a:effectLst/>
          </c:spPr>
          <c:invertIfNegative val="0"/>
          <c:cat>
            <c:strRef>
              <c:f>products!$A$4:$A$20</c:f>
              <c:strCache>
                <c:ptCount val="16"/>
                <c:pt idx="0">
                  <c:v>Backpack</c:v>
                </c:pt>
                <c:pt idx="1">
                  <c:v>Storage Box</c:v>
                </c:pt>
                <c:pt idx="2">
                  <c:v>Sticky Notes</c:v>
                </c:pt>
                <c:pt idx="3">
                  <c:v>Notebook</c:v>
                </c:pt>
                <c:pt idx="4">
                  <c:v>Keyboard</c:v>
                </c:pt>
                <c:pt idx="5">
                  <c:v>Laptop Sleeve</c:v>
                </c:pt>
                <c:pt idx="6">
                  <c:v>Wireless Mouse</c:v>
                </c:pt>
                <c:pt idx="7">
                  <c:v>Cable Organizer</c:v>
                </c:pt>
                <c:pt idx="8">
                  <c:v>Office Chair</c:v>
                </c:pt>
                <c:pt idx="9">
                  <c:v>Water Bottle</c:v>
                </c:pt>
                <c:pt idx="10">
                  <c:v>Pen Set</c:v>
                </c:pt>
                <c:pt idx="11">
                  <c:v>Headphones</c:v>
                </c:pt>
                <c:pt idx="12">
                  <c:v>USB Hub</c:v>
                </c:pt>
                <c:pt idx="13">
                  <c:v>Phone Stand</c:v>
                </c:pt>
                <c:pt idx="14">
                  <c:v>Planner</c:v>
                </c:pt>
                <c:pt idx="15">
                  <c:v>Desk Lamp</c:v>
                </c:pt>
              </c:strCache>
            </c:strRef>
          </c:cat>
          <c:val>
            <c:numRef>
              <c:f>products!$B$4:$B$20</c:f>
              <c:numCache>
                <c:formatCode>General</c:formatCode>
                <c:ptCount val="16"/>
                <c:pt idx="0">
                  <c:v>11205.220000000001</c:v>
                </c:pt>
                <c:pt idx="1">
                  <c:v>10565.42</c:v>
                </c:pt>
                <c:pt idx="2">
                  <c:v>10459.34</c:v>
                </c:pt>
                <c:pt idx="3">
                  <c:v>10241.470000000001</c:v>
                </c:pt>
                <c:pt idx="4">
                  <c:v>9920.64</c:v>
                </c:pt>
                <c:pt idx="5">
                  <c:v>8640.41</c:v>
                </c:pt>
                <c:pt idx="6">
                  <c:v>8621.32</c:v>
                </c:pt>
                <c:pt idx="7">
                  <c:v>7977.4599999999991</c:v>
                </c:pt>
                <c:pt idx="8">
                  <c:v>7457.14</c:v>
                </c:pt>
                <c:pt idx="9">
                  <c:v>7318.5100000000011</c:v>
                </c:pt>
                <c:pt idx="10">
                  <c:v>7263.4400000000005</c:v>
                </c:pt>
                <c:pt idx="11">
                  <c:v>7233.0300000000007</c:v>
                </c:pt>
                <c:pt idx="12">
                  <c:v>6493.97</c:v>
                </c:pt>
                <c:pt idx="13">
                  <c:v>6450.8099999999986</c:v>
                </c:pt>
                <c:pt idx="14">
                  <c:v>5914.1</c:v>
                </c:pt>
                <c:pt idx="15">
                  <c:v>5642.3899999999994</c:v>
                </c:pt>
              </c:numCache>
            </c:numRef>
          </c:val>
          <c:extLst>
            <c:ext xmlns:c16="http://schemas.microsoft.com/office/drawing/2014/chart" uri="{C3380CC4-5D6E-409C-BE32-E72D297353CC}">
              <c16:uniqueId val="{00000000-EE34-4DEE-B36B-5074FEC0F99E}"/>
            </c:ext>
          </c:extLst>
        </c:ser>
        <c:dLbls>
          <c:showLegendKey val="0"/>
          <c:showVal val="0"/>
          <c:showCatName val="0"/>
          <c:showSerName val="0"/>
          <c:showPercent val="0"/>
          <c:showBubbleSize val="0"/>
        </c:dLbls>
        <c:gapWidth val="182"/>
        <c:axId val="1279180800"/>
        <c:axId val="1279168320"/>
      </c:barChart>
      <c:catAx>
        <c:axId val="127918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168320"/>
        <c:crosses val="autoZero"/>
        <c:auto val="1"/>
        <c:lblAlgn val="ctr"/>
        <c:lblOffset val="100"/>
        <c:noMultiLvlLbl val="0"/>
      </c:catAx>
      <c:valAx>
        <c:axId val="1279168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180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[SuperStore_Portfolio_Final.xlsx]order status!PivotTable4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'order status'!$B$3</c:f>
              <c:strCache>
                <c:ptCount val="1"/>
                <c:pt idx="0">
                  <c:v>Total</c:v>
                </c:pt>
              </c:strCache>
            </c:strRef>
          </c:tx>
          <c:spPr>
            <a:solidFill>
              <a:schemeClr val="accent1"/>
            </a:solidFill>
            <a:ln>
              <a:noFill/>
            </a:ln>
            <a:effectLst/>
          </c:spPr>
          <c:invertIfNegative val="0"/>
          <c:cat>
            <c:strRef>
              <c:f>'order status'!$A$4:$A$7</c:f>
              <c:strCache>
                <c:ptCount val="3"/>
                <c:pt idx="0">
                  <c:v>Cancelled</c:v>
                </c:pt>
                <c:pt idx="1">
                  <c:v>Completed</c:v>
                </c:pt>
                <c:pt idx="2">
                  <c:v>Returned</c:v>
                </c:pt>
              </c:strCache>
            </c:strRef>
          </c:cat>
          <c:val>
            <c:numRef>
              <c:f>'order status'!$B$4:$B$7</c:f>
              <c:numCache>
                <c:formatCode>General</c:formatCode>
                <c:ptCount val="3"/>
                <c:pt idx="0">
                  <c:v>99</c:v>
                </c:pt>
                <c:pt idx="1">
                  <c:v>302</c:v>
                </c:pt>
                <c:pt idx="2">
                  <c:v>98</c:v>
                </c:pt>
              </c:numCache>
            </c:numRef>
          </c:val>
          <c:extLst>
            <c:ext xmlns:c16="http://schemas.microsoft.com/office/drawing/2014/chart" uri="{C3380CC4-5D6E-409C-BE32-E72D297353CC}">
              <c16:uniqueId val="{00000001-B799-4B94-A539-B999AB370C0F}"/>
            </c:ext>
          </c:extLst>
        </c:ser>
        <c:dLbls>
          <c:showLegendKey val="0"/>
          <c:showVal val="0"/>
          <c:showCatName val="0"/>
          <c:showSerName val="0"/>
          <c:showPercent val="0"/>
          <c:showBubbleSize val="0"/>
        </c:dLbls>
        <c:gapWidth val="219"/>
        <c:overlap val="-27"/>
        <c:axId val="1288736912"/>
        <c:axId val="1288730672"/>
      </c:barChart>
      <c:catAx>
        <c:axId val="128873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730672"/>
        <c:crosses val="autoZero"/>
        <c:auto val="1"/>
        <c:lblAlgn val="ctr"/>
        <c:lblOffset val="100"/>
        <c:noMultiLvlLbl val="0"/>
      </c:catAx>
      <c:valAx>
        <c:axId val="1288730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736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Margin vs Discount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Discount!$H$3</c:f>
              <c:strCache>
                <c:ptCount val="1"/>
                <c:pt idx="0">
                  <c:v>Profit Margin</c:v>
                </c:pt>
              </c:strCache>
            </c:strRef>
          </c:tx>
          <c:spPr>
            <a:ln w="28575" cap="rnd">
              <a:noFill/>
              <a:round/>
            </a:ln>
            <a:effectLst/>
          </c:spPr>
          <c:marker>
            <c:symbol val="circle"/>
            <c:size val="5"/>
            <c:spPr>
              <a:solidFill>
                <a:schemeClr val="accent1"/>
              </a:solidFill>
              <a:ln w="9525">
                <a:solidFill>
                  <a:schemeClr val="accent1"/>
                </a:solidFill>
              </a:ln>
              <a:effectLst/>
            </c:spPr>
          </c:marker>
          <c:xVal>
            <c:numRef>
              <c:f>Discount!$G$4:$G$8</c:f>
              <c:numCache>
                <c:formatCode>0%</c:formatCode>
                <c:ptCount val="5"/>
                <c:pt idx="0">
                  <c:v>0</c:v>
                </c:pt>
                <c:pt idx="1">
                  <c:v>0.05</c:v>
                </c:pt>
                <c:pt idx="2">
                  <c:v>0.1</c:v>
                </c:pt>
                <c:pt idx="3">
                  <c:v>0.15</c:v>
                </c:pt>
                <c:pt idx="4">
                  <c:v>0.2</c:v>
                </c:pt>
              </c:numCache>
            </c:numRef>
          </c:xVal>
          <c:yVal>
            <c:numRef>
              <c:f>Discount!$H$4:$H$8</c:f>
              <c:numCache>
                <c:formatCode>0.00%</c:formatCode>
                <c:ptCount val="5"/>
                <c:pt idx="0">
                  <c:v>0.80410000000000004</c:v>
                </c:pt>
                <c:pt idx="1">
                  <c:v>0.77029999999999998</c:v>
                </c:pt>
                <c:pt idx="2">
                  <c:v>0.75739999999999996</c:v>
                </c:pt>
                <c:pt idx="3">
                  <c:v>0.73850000000000005</c:v>
                </c:pt>
                <c:pt idx="4">
                  <c:v>0.70940000000000003</c:v>
                </c:pt>
              </c:numCache>
            </c:numRef>
          </c:yVal>
          <c:smooth val="0"/>
          <c:extLst>
            <c:ext xmlns:c16="http://schemas.microsoft.com/office/drawing/2014/chart" uri="{C3380CC4-5D6E-409C-BE32-E72D297353CC}">
              <c16:uniqueId val="{00000000-A346-4E00-93CA-F39E46A612D7}"/>
            </c:ext>
          </c:extLst>
        </c:ser>
        <c:dLbls>
          <c:showLegendKey val="0"/>
          <c:showVal val="0"/>
          <c:showCatName val="0"/>
          <c:showSerName val="0"/>
          <c:showPercent val="0"/>
          <c:showBubbleSize val="0"/>
        </c:dLbls>
        <c:axId val="1288731088"/>
        <c:axId val="1288744400"/>
      </c:scatterChart>
      <c:valAx>
        <c:axId val="12887310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744400"/>
        <c:crosses val="autoZero"/>
        <c:crossBetween val="midCat"/>
      </c:valAx>
      <c:valAx>
        <c:axId val="1288744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7310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723899</xdr:colOff>
      <xdr:row>4</xdr:row>
      <xdr:rowOff>133349</xdr:rowOff>
    </xdr:from>
    <xdr:to>
      <xdr:col>5</xdr:col>
      <xdr:colOff>1019174</xdr:colOff>
      <xdr:row>17</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419100</xdr:colOff>
      <xdr:row>4</xdr:row>
      <xdr:rowOff>123826</xdr:rowOff>
    </xdr:from>
    <xdr:to>
      <xdr:col>11</xdr:col>
      <xdr:colOff>1181100</xdr:colOff>
      <xdr:row>17</xdr:row>
      <xdr:rowOff>123826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733425</xdr:colOff>
      <xdr:row>18</xdr:row>
      <xdr:rowOff>123825</xdr:rowOff>
    </xdr:from>
    <xdr:to>
      <xdr:col>5</xdr:col>
      <xdr:colOff>1104900</xdr:colOff>
      <xdr:row>31</xdr:row>
      <xdr:rowOff>161924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485775</xdr:colOff>
      <xdr:row>18</xdr:row>
      <xdr:rowOff>123824</xdr:rowOff>
    </xdr:from>
    <xdr:to>
      <xdr:col>11</xdr:col>
      <xdr:colOff>971550</xdr:colOff>
      <xdr:row>31</xdr:row>
      <xdr:rowOff>152399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666750</xdr:colOff>
      <xdr:row>32</xdr:row>
      <xdr:rowOff>161925</xdr:rowOff>
    </xdr:from>
    <xdr:to>
      <xdr:col>6</xdr:col>
      <xdr:colOff>9525</xdr:colOff>
      <xdr:row>47</xdr:row>
      <xdr:rowOff>47625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457199</xdr:colOff>
      <xdr:row>32</xdr:row>
      <xdr:rowOff>142875</xdr:rowOff>
    </xdr:from>
    <xdr:to>
      <xdr:col>11</xdr:col>
      <xdr:colOff>962025</xdr:colOff>
      <xdr:row>47</xdr:row>
      <xdr:rowOff>28575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edVedica" refreshedDate="46292.660759722225" createdVersion="6" refreshedVersion="6" minRefreshableVersion="3" recordCount="499">
  <cacheSource type="worksheet">
    <worksheetSource name="Table2"/>
  </cacheSource>
  <cacheFields count="17">
    <cacheField name="Order_ID" numFmtId="0">
      <sharedItems/>
    </cacheField>
    <cacheField name="Order_Date" numFmtId="0">
      <sharedItems containsDate="1" containsMixedTypes="1" minDate="2025-01-01T00:00:00" maxDate="2026-01-01T00:00:00"/>
    </cacheField>
    <cacheField name="Customer_ID" numFmtId="0">
      <sharedItems containsBlank="1" count="164">
        <s v="CUST0075"/>
        <s v="CUST0102"/>
        <s v="CUST0147"/>
        <s v="CUST0128"/>
        <s v="CUST0110"/>
        <s v="CUST0164"/>
        <s v="CUST0062"/>
        <s v="CUST0173"/>
        <s v="CUST0114"/>
        <s v="CUST0125"/>
        <s v="CUST0006"/>
        <s v="CUST0048"/>
        <s v="CUST0034"/>
        <s v="CUST0051"/>
        <s v="CUST0080"/>
        <s v="CUST0169"/>
        <m/>
        <s v="CUST0078"/>
        <s v="CUST0081"/>
        <s v="CUST0038"/>
        <s v="CUST0104"/>
        <s v="CUST0139"/>
        <s v="CUST0130"/>
        <s v="CUST0101"/>
        <s v="CUST0129"/>
        <s v="CUST0012"/>
        <s v="CUST0072"/>
        <s v="CUST0144"/>
        <s v="CUST0180"/>
        <s v="CUST0049"/>
        <s v="CUST0013"/>
        <s v="CUST0171"/>
        <s v="CUST0176"/>
        <s v="CUST0090"/>
        <s v="CUST0095"/>
        <s v="CUST0143"/>
        <s v="CUST0058"/>
        <s v="CUST0156"/>
        <s v="CUST0126"/>
        <s v="CUST0025"/>
        <s v="CUST0086"/>
        <s v="CUST0053"/>
        <s v="CUST0136"/>
        <s v="CUST0003"/>
        <s v="CUST0166"/>
        <s v="CUST0155"/>
        <s v="CUST0177"/>
        <s v="CUST0020"/>
        <s v="CUST0026"/>
        <s v="CUST0036"/>
        <s v="CUST0035"/>
        <s v="CUST0063"/>
        <s v="CUST0161"/>
        <s v="CUST0121"/>
        <s v="CUST0178"/>
        <s v="CUST0044"/>
        <s v="CUST0027"/>
        <s v="CUST0079"/>
        <s v="CUST0146"/>
        <s v="CUST0170"/>
        <s v="CUST0093"/>
        <s v="CUST0059"/>
        <s v="CUST0066"/>
        <s v="CUST0032"/>
        <s v="CUST0152"/>
        <s v="CUST0024"/>
        <s v="CUST0045"/>
        <s v="CUST0046"/>
        <s v="CUST0017"/>
        <s v="CUST0039"/>
        <s v="CUST0109"/>
        <s v="CUST0137"/>
        <s v="CUST0021"/>
        <s v="CUST0092"/>
        <s v="CUST0111"/>
        <s v="CUST0122"/>
        <s v="CUST0082"/>
        <s v="CUST0172"/>
        <s v="CUST0162"/>
        <s v="CUST0107"/>
        <s v="CUST0074"/>
        <s v="CUST0105"/>
        <s v="CUST0132"/>
        <s v="CUST0071"/>
        <s v="CUST0179"/>
        <s v="CUST0007"/>
        <s v="CUST0009"/>
        <s v="CUST0150"/>
        <s v="CUST0118"/>
        <s v="CUST0022"/>
        <s v="CUST0084"/>
        <s v="CUST0103"/>
        <s v="CUST0014"/>
        <s v="CUST0153"/>
        <s v="CUST0083"/>
        <s v="CUST0069"/>
        <s v="CUST0120"/>
        <s v="CUST0175"/>
        <s v="CUST0141"/>
        <s v="CUST0167"/>
        <s v="CUST0151"/>
        <s v="CUST0043"/>
        <s v="CUST0113"/>
        <s v="CUST0149"/>
        <s v="CUST0077"/>
        <s v="CUST0160"/>
        <s v="CUST0119"/>
        <s v="CUST0115"/>
        <s v="CUST0174"/>
        <s v="CUST0154"/>
        <s v="CUST0158"/>
        <s v="CUST0016"/>
        <s v="CUST0008"/>
        <s v="CUST0094"/>
        <s v="CUST0047"/>
        <s v="CUST0015"/>
        <s v="CUST0117"/>
        <s v="CUST0124"/>
        <s v="CUST0142"/>
        <s v="CUST0037"/>
        <s v="CUST0028"/>
        <s v="CUST0005"/>
        <s v="CUST0127"/>
        <s v="CUST0041"/>
        <s v="CUST0131"/>
        <s v="CUST0098"/>
        <s v="CUST0145"/>
        <s v="CUST0068"/>
        <s v="CUST0070"/>
        <s v="CUST0100"/>
        <s v="CUST0004"/>
        <s v="CUST0133"/>
        <s v="CUST0168"/>
        <s v="CUST0134"/>
        <s v="CUST0123"/>
        <s v="CUST0135"/>
        <s v="CUST0054"/>
        <s v="CUST0052"/>
        <s v="CUST0088"/>
        <s v="CUST0011"/>
        <s v="CUST0033"/>
        <s v="CUST0165"/>
        <s v="CUST0116"/>
        <s v="CUST0108"/>
        <s v="CUST0056"/>
        <s v="CUST0002"/>
        <s v="CUST0157"/>
        <s v="CUST0089"/>
        <s v="CUST0065"/>
        <s v="CUST0060"/>
        <s v="CUST0057"/>
        <s v="CUST0064"/>
        <s v="CUST0112"/>
        <s v="CUST0159"/>
        <s v="CUST0148"/>
        <s v="CUST0067"/>
        <s v="CUST0138"/>
        <s v="CUST0018"/>
        <s v="CUST0087"/>
        <s v="CUST0031"/>
        <s v="CUST0097"/>
        <s v="CUST0163"/>
        <s v="CUST0050"/>
        <s v="CUST0019"/>
      </sharedItems>
    </cacheField>
    <cacheField name="Product" numFmtId="0">
      <sharedItems count="16">
        <s v="Wireless Mouse"/>
        <s v="Backpack"/>
        <s v="Planner"/>
        <s v="Laptop Sleeve"/>
        <s v="Headphones"/>
        <s v="Storage Box"/>
        <s v="Keyboard"/>
        <s v="Cable Organizer"/>
        <s v="Phone Stand"/>
        <s v="Pen Set"/>
        <s v="USB Hub"/>
        <s v="Desk Lamp"/>
        <s v="Sticky Notes"/>
        <s v="Notebook"/>
        <s v="Office Chair"/>
        <s v="Water Bottle"/>
      </sharedItems>
    </cacheField>
    <cacheField name="Category" numFmtId="0">
      <sharedItems count="5">
        <s v="Electronics"/>
        <s v="Accessories"/>
        <s v="Stationery"/>
        <s v="Home"/>
        <s v="Home &amp; Living"/>
      </sharedItems>
    </cacheField>
    <cacheField name="Region" numFmtId="0">
      <sharedItems containsBlank="1"/>
    </cacheField>
    <cacheField name="Quantity" numFmtId="0">
      <sharedItems containsSemiMixedTypes="0" containsString="0" containsNumber="1" containsInteger="1" minValue="0" maxValue="5"/>
    </cacheField>
    <cacheField name="Unit_Price" numFmtId="0">
      <sharedItems containsString="0" containsBlank="1" containsNumber="1" minValue="-25" maxValue="179.42"/>
    </cacheField>
    <cacheField name="Discount" numFmtId="0">
      <sharedItems containsSemiMixedTypes="0" containsString="0" containsNumber="1" minValue="0" maxValue="1.25" count="6">
        <n v="0"/>
        <n v="0.15"/>
        <n v="0.2"/>
        <n v="0.1"/>
        <n v="0.05"/>
        <n v="1.25"/>
      </sharedItems>
    </cacheField>
    <cacheField name="Revenue" numFmtId="0">
      <sharedItems containsSemiMixedTypes="0" containsString="0" containsNumber="1" minValue="9.3000000000000007" maxValue="892.65" count="497">
        <n v="9.3000000000000007"/>
        <n v="10.72"/>
        <n v="11.25"/>
        <n v="13.76"/>
        <n v="13.84"/>
        <n v="15.01"/>
        <n v="16.09"/>
        <n v="18.61"/>
        <n v="18.649999999999999"/>
        <n v="20.48"/>
        <n v="20.71"/>
        <n v="23.51"/>
        <n v="24.18"/>
        <n v="24.19"/>
        <n v="25.11"/>
        <n v="25.22"/>
        <n v="25.25"/>
        <n v="26.1"/>
        <n v="26.22"/>
        <n v="27.57"/>
        <n v="30.74"/>
        <n v="30.9"/>
        <n v="32.22"/>
        <n v="32.42"/>
        <n v="32.53"/>
        <n v="33.6"/>
        <n v="34.340000000000003"/>
        <n v="34.4"/>
        <n v="35.049999999999997"/>
        <n v="35.450000000000003"/>
        <n v="35.909999999999997"/>
        <n v="37.42"/>
        <n v="40.32"/>
        <n v="41.44"/>
        <n v="41.76"/>
        <n v="42.35"/>
        <n v="42.63"/>
        <n v="42.98"/>
        <n v="45.41"/>
        <n v="45.45"/>
        <n v="45.72"/>
        <n v="46.53"/>
        <n v="47.48"/>
        <n v="48.82"/>
        <n v="49.61"/>
        <n v="49.83"/>
        <n v="50.79"/>
        <n v="51.15"/>
        <n v="51.36"/>
        <n v="51.82"/>
        <n v="52.11"/>
        <n v="52.23"/>
        <n v="52.31"/>
        <n v="52.56"/>
        <n v="52.68"/>
        <n v="52.94"/>
        <n v="53.31"/>
        <n v="53.81"/>
        <n v="55.01"/>
        <n v="55.1"/>
        <n v="55.12"/>
        <n v="55.19"/>
        <n v="55.48"/>
        <n v="55.84"/>
        <n v="56.52"/>
        <n v="57.31"/>
        <n v="57.51"/>
        <n v="58.03"/>
        <n v="60.11"/>
        <n v="60.8"/>
        <n v="61.25"/>
        <n v="61.62"/>
        <n v="62.2"/>
        <n v="62.24"/>
        <n v="63.12"/>
        <n v="63.31"/>
        <n v="63.78"/>
        <n v="63.98"/>
        <n v="65"/>
        <n v="65.040000000000006"/>
        <n v="65.540000000000006"/>
        <n v="68.41"/>
        <n v="68.55"/>
        <n v="68.63"/>
        <n v="69.040000000000006"/>
        <n v="70.67"/>
        <n v="71.67"/>
        <n v="71.8"/>
        <n v="73.13"/>
        <n v="74.12"/>
        <n v="74.430000000000007"/>
        <n v="74.78"/>
        <n v="75.099999999999994"/>
        <n v="76.03"/>
        <n v="76.290000000000006"/>
        <n v="76.349999999999994"/>
        <n v="77.53"/>
        <n v="78.430000000000007"/>
        <n v="78.98"/>
        <n v="80.05"/>
        <n v="81.150000000000006"/>
        <n v="83.26"/>
        <n v="84.42"/>
        <n v="84.44"/>
        <n v="87.05"/>
        <n v="87.1"/>
        <n v="87.18"/>
        <n v="88.17"/>
        <n v="88.6"/>
        <n v="89.87"/>
        <n v="89.95"/>
        <n v="90.69"/>
        <n v="94.31"/>
        <n v="94.48"/>
        <n v="96.57"/>
        <n v="97.6"/>
        <n v="98.43"/>
        <n v="98.48"/>
        <n v="98.66"/>
        <n v="100.06"/>
        <n v="100.1"/>
        <n v="101.05"/>
        <n v="102.62"/>
        <n v="103.94"/>
        <n v="106.96"/>
        <n v="107.19"/>
        <n v="107.68"/>
        <n v="108.3"/>
        <n v="108.44"/>
        <n v="108.56"/>
        <n v="108.93"/>
        <n v="109.68"/>
        <n v="110.16"/>
        <n v="110.88"/>
        <n v="111.42"/>
        <n v="112"/>
        <n v="112.05"/>
        <n v="112.81"/>
        <n v="113.03"/>
        <n v="113.6"/>
        <n v="113.63"/>
        <n v="113.78"/>
        <n v="114.87"/>
        <n v="114.91"/>
        <n v="115.57"/>
        <n v="117.25"/>
        <n v="117.3"/>
        <n v="117.46"/>
        <n v="117.92"/>
        <n v="118.8"/>
        <n v="119.55"/>
        <n v="119.9"/>
        <n v="120.41"/>
        <n v="121.96"/>
        <n v="123.46"/>
        <n v="123.52"/>
        <n v="124.28"/>
        <n v="124.85"/>
        <n v="126.48"/>
        <n v="129.57"/>
        <n v="130.41999999999999"/>
        <n v="130.44999999999999"/>
        <n v="130.93"/>
        <n v="131.44"/>
        <n v="132"/>
        <n v="132.13999999999999"/>
        <n v="132.34"/>
        <n v="132.51"/>
        <n v="133.59"/>
        <n v="134.54"/>
        <n v="134.66"/>
        <n v="135.56"/>
        <n v="137.86000000000001"/>
        <n v="138.75"/>
        <n v="138.91"/>
        <n v="138.93"/>
        <n v="139.91"/>
        <n v="140.15"/>
        <n v="140.35"/>
        <n v="141.04"/>
        <n v="141.66"/>
        <n v="141.99"/>
        <n v="142.94"/>
        <n v="143.13"/>
        <n v="143.46"/>
        <n v="144.24"/>
        <n v="145.80000000000001"/>
        <n v="146.68"/>
        <n v="149.61000000000001"/>
        <n v="149.69999999999999"/>
        <n v="151.69"/>
        <n v="152.6"/>
        <n v="152.63"/>
        <n v="152.63999999999999"/>
        <n v="154.19"/>
        <n v="154.29"/>
        <n v="154.84"/>
        <n v="155.27000000000001"/>
        <n v="160.22"/>
        <n v="160.37"/>
        <n v="162.76"/>
        <n v="163.53"/>
        <n v="163.65"/>
        <n v="163.84"/>
        <n v="164.15"/>
        <n v="165.73"/>
        <n v="168.18"/>
        <n v="169.15"/>
        <n v="170.38"/>
        <n v="171.54"/>
        <n v="172.53"/>
        <n v="173.2"/>
        <n v="173.99"/>
        <n v="175.79"/>
        <n v="176.37"/>
        <n v="177.07"/>
        <n v="177.5"/>
        <n v="177.9"/>
        <n v="177.98"/>
        <n v="177.99"/>
        <n v="178.41"/>
        <n v="178.9"/>
        <n v="178.98"/>
        <n v="179.38"/>
        <n v="179.44"/>
        <n v="180"/>
        <n v="180.46"/>
        <n v="180.84"/>
        <n v="181.23"/>
        <n v="181.48"/>
        <n v="181.94"/>
        <n v="182.74"/>
        <n v="183.58"/>
        <n v="185.19"/>
        <n v="188.72"/>
        <n v="190.14"/>
        <n v="195.79"/>
        <n v="196.5"/>
        <n v="196.84"/>
        <n v="200.74"/>
        <n v="203.88"/>
        <n v="203.91"/>
        <n v="204"/>
        <n v="207.63"/>
        <n v="210.33"/>
        <n v="211.28"/>
        <n v="211.47"/>
        <n v="215.39"/>
        <n v="219.06"/>
        <n v="219.45"/>
        <n v="220.97"/>
        <n v="222.4"/>
        <n v="223.77"/>
        <n v="224.12"/>
        <n v="225.15"/>
        <n v="228.62"/>
        <n v="230.26"/>
        <n v="230.96"/>
        <n v="231.89"/>
        <n v="232.12"/>
        <n v="232.2"/>
        <n v="233.92"/>
        <n v="235.38"/>
        <n v="236.3"/>
        <n v="240.56"/>
        <n v="242.14"/>
        <n v="243.41"/>
        <n v="245.44"/>
        <n v="246.24"/>
        <n v="246.56"/>
        <n v="247.29"/>
        <n v="249.29"/>
        <n v="249.96"/>
        <n v="250.48"/>
        <n v="253.5"/>
        <n v="254.24"/>
        <n v="254.26"/>
        <n v="254.56"/>
        <n v="255.71"/>
        <n v="256.82"/>
        <n v="257"/>
        <n v="258.92"/>
        <n v="259.58"/>
        <n v="260.39"/>
        <n v="261.02"/>
        <n v="263.55"/>
        <n v="263.7"/>
        <n v="266.52"/>
        <n v="266.75"/>
        <n v="268.8"/>
        <n v="270.92"/>
        <n v="271.74"/>
        <n v="272.2"/>
        <n v="272.48"/>
        <n v="272.85000000000002"/>
        <n v="273.11"/>
        <n v="273.94"/>
        <n v="275.47000000000003"/>
        <n v="275.60000000000002"/>
        <n v="276.92"/>
        <n v="278.3"/>
        <n v="278.64"/>
        <n v="278.68"/>
        <n v="280.33"/>
        <n v="281.27999999999997"/>
        <n v="286.52"/>
        <n v="287.14999999999998"/>
        <n v="287.52"/>
        <n v="288.39999999999998"/>
        <n v="288.66000000000003"/>
        <n v="288.77999999999997"/>
        <n v="292.18"/>
        <n v="294.25"/>
        <n v="294.52"/>
        <n v="294.56"/>
        <n v="295.35000000000002"/>
        <n v="295.95999999999998"/>
        <n v="296.44"/>
        <n v="298.32"/>
        <n v="298.56"/>
        <n v="298.58"/>
        <n v="300.83999999999997"/>
        <n v="303.08"/>
        <n v="304.24"/>
        <n v="304.94"/>
        <n v="305.56"/>
        <n v="305.69"/>
        <n v="308.2"/>
        <n v="310.45999999999998"/>
        <n v="310.79000000000002"/>
        <n v="311.98"/>
        <n v="315.24"/>
        <n v="316.29000000000002"/>
        <n v="320.45"/>
        <n v="323.76"/>
        <n v="326.58999999999997"/>
        <n v="328.14"/>
        <n v="328.6"/>
        <n v="328.75"/>
        <n v="331.2"/>
        <n v="332.76"/>
        <n v="333"/>
        <n v="333.49"/>
        <n v="338.15"/>
        <n v="338.47"/>
        <n v="341.86"/>
        <n v="341.91"/>
        <n v="342.4"/>
        <n v="343.41"/>
        <n v="344.43"/>
        <n v="345.36"/>
        <n v="348.38"/>
        <n v="348.87"/>
        <n v="349.6"/>
        <n v="351.21"/>
        <n v="354.2"/>
        <n v="355.32"/>
        <n v="355.62"/>
        <n v="357.3"/>
        <n v="358.61"/>
        <n v="358.62"/>
        <n v="360.23"/>
        <n v="362.62"/>
        <n v="368.32"/>
        <n v="370.37"/>
        <n v="372.67"/>
        <n v="373.36"/>
        <n v="374.68"/>
        <n v="376.88"/>
        <n v="378.72"/>
        <n v="380.96"/>
        <n v="382.51"/>
        <n v="383.7"/>
        <n v="386.03"/>
        <n v="386.28"/>
        <n v="389.74"/>
        <n v="389.81"/>
        <n v="391.48"/>
        <n v="392.26"/>
        <n v="395.73"/>
        <n v="395.89"/>
        <n v="398.63"/>
        <n v="400.02"/>
        <n v="400.62"/>
        <n v="403.1"/>
        <n v="405.22"/>
        <n v="405.3"/>
        <n v="405.36"/>
        <n v="406.35"/>
        <n v="406.94"/>
        <n v="407.44"/>
        <n v="409.94"/>
        <n v="415.24"/>
        <n v="415.65"/>
        <n v="416.2"/>
        <n v="417.62"/>
        <n v="420.66"/>
        <n v="423.06"/>
        <n v="425.72"/>
        <n v="426.24"/>
        <n v="429.11"/>
        <n v="431.06"/>
        <n v="431.67"/>
        <n v="435.34"/>
        <n v="438.87"/>
        <n v="439.07"/>
        <n v="439.54"/>
        <n v="439.96"/>
        <n v="444.56"/>
        <n v="446.81"/>
        <n v="455.22"/>
        <n v="456.72"/>
        <n v="459.48"/>
        <n v="460.3"/>
        <n v="460.56"/>
        <n v="463.75"/>
        <n v="467.64"/>
        <n v="469"/>
        <n v="478.04"/>
        <n v="478.13"/>
        <n v="478.15"/>
        <n v="483.27"/>
        <n v="488.15"/>
        <n v="490.28"/>
        <n v="496.48"/>
        <n v="497.4"/>
        <n v="497.95"/>
        <n v="502.41"/>
        <n v="504.25"/>
        <n v="506.55"/>
        <n v="507.85"/>
        <n v="508.35"/>
        <n v="512.59"/>
        <n v="518.29999999999995"/>
        <n v="520.32000000000005"/>
        <n v="532.89"/>
        <n v="544"/>
        <n v="547.76"/>
        <n v="551.75"/>
        <n v="552.24"/>
        <n v="553.16"/>
        <n v="554.91999999999996"/>
        <n v="556.70000000000005"/>
        <n v="562.44000000000005"/>
        <n v="563.94000000000005"/>
        <n v="570.67999999999995"/>
        <n v="573.34"/>
        <n v="587.88"/>
        <n v="588.64"/>
        <n v="590.28"/>
        <n v="592.4"/>
        <n v="594.22"/>
        <n v="594.70000000000005"/>
        <n v="598.5"/>
        <n v="600.71"/>
        <n v="603.48"/>
        <n v="608.94000000000005"/>
        <n v="611.16"/>
        <n v="620.85"/>
        <n v="622.32000000000005"/>
        <n v="623.48"/>
        <n v="630.96"/>
        <n v="635.9"/>
        <n v="638.14"/>
        <n v="642"/>
        <n v="644.79999999999995"/>
        <n v="658.26"/>
        <n v="659.26"/>
        <n v="659.36"/>
        <n v="668.7"/>
        <n v="671"/>
        <n v="672.48"/>
        <n v="680.66"/>
        <n v="682.29"/>
        <n v="683.48"/>
        <n v="683.86"/>
        <n v="690.98"/>
        <n v="695.92"/>
        <n v="696.1"/>
        <n v="697.2"/>
        <n v="699.98"/>
        <n v="717"/>
        <n v="718.55"/>
        <n v="747.08"/>
        <n v="754.35"/>
        <n v="760.5"/>
        <n v="760.8"/>
        <n v="766.6"/>
        <n v="767.2"/>
        <n v="791.55"/>
        <n v="807.39"/>
        <n v="848.8"/>
        <n v="862.35"/>
        <n v="868.5"/>
        <n v="875.5"/>
        <n v="883.9"/>
        <n v="892.65"/>
      </sharedItems>
    </cacheField>
    <cacheField name="Cost" numFmtId="0">
      <sharedItems containsSemiMixedTypes="0" containsString="0" containsNumber="1" minValue="6.13" maxValue="727.4"/>
    </cacheField>
    <cacheField name="Profit" numFmtId="0">
      <sharedItems containsSemiMixedTypes="0" containsString="0" containsNumber="1" minValue="2.19" maxValue="361.63"/>
    </cacheField>
    <cacheField name="Order_Status" numFmtId="0">
      <sharedItems count="3">
        <s v="Returned"/>
        <s v="Completed"/>
        <s v="Cancelled"/>
      </sharedItems>
    </cacheField>
    <cacheField name="Expected_Revenue" numFmtId="0">
      <sharedItems/>
    </cacheField>
    <cacheField name="New_profit " numFmtId="0">
      <sharedItems/>
    </cacheField>
    <cacheField name="Analysis_Date" numFmtId="165">
      <sharedItems containsDate="1" containsMixedTypes="1" minDate="2025-01-01T00:00:00" maxDate="2026-01-01T00:00:00" count="282">
        <d v="2025-12-16T00:00:00"/>
        <d v="2025-08-06T00:00:00"/>
        <d v="2025-01-01T00:00:00"/>
        <d v="2025-10-11T00:00:00"/>
        <d v="2025-05-05T00:00:00"/>
        <d v="2025-05-17T00:00:00"/>
        <d v="2025-12-14T00:00:00"/>
        <d v="2025-04-09T00:00:00"/>
        <d v="2025-07-27T00:00:00"/>
        <d v="2025-04-22T00:00:00"/>
        <d v="2025-08-11T00:00:00"/>
        <d v="2025-04-11T00:00:00"/>
        <d v="2025-10-15T00:00:00"/>
        <d v="2025-08-15T00:00:00"/>
        <d v="2025-10-19T00:00:00"/>
        <d v="2025-11-14T00:00:00"/>
        <d v="2025-03-11T00:00:00"/>
        <d v="2025-03-08T00:00:00"/>
        <d v="2025-08-13T00:00:00"/>
        <d v="2025-01-14T00:00:00"/>
        <d v="2025-07-24T00:00:00"/>
        <d v="2025-03-04T00:00:00"/>
        <d v="2025-05-28T00:00:00"/>
        <d v="2025-03-09T00:00:00"/>
        <d v="2025-10-02T00:00:00"/>
        <d v="2025-02-03T00:00:00"/>
        <d v="2025-03-28T00:00:00"/>
        <d v="2025-11-09T00:00:00"/>
        <d v="2025-05-25T00:00:00"/>
        <d v="2025-09-10T00:00:00"/>
        <d v="2025-07-11T00:00:00"/>
        <d v="2025-11-18T00:00:00"/>
        <d v="2025-09-12T00:00:00"/>
        <d v="2025-10-26T00:00:00"/>
        <d v="2025-05-24T00:00:00"/>
        <d v="2025-04-04T00:00:00"/>
        <d v="2025-08-02T00:00:00"/>
        <d v="2025-05-09T00:00:00"/>
        <d v="2025-06-22T00:00:00"/>
        <d v="2025-08-05T00:00:00"/>
        <d v="2025-02-02T00:00:00"/>
        <d v="2025-11-20T00:00:00"/>
        <d v="2025-05-22T00:00:00"/>
        <d v="2025-05-06T00:00:00"/>
        <d v="2025-11-04T00:00:00"/>
        <d v="2025-04-26T00:00:00"/>
        <d v="2025-04-30T00:00:00"/>
        <d v="2025-01-07T00:00:00"/>
        <d v="2025-04-23T00:00:00"/>
        <d v="2025-08-07T00:00:00"/>
        <d v="2025-07-03T00:00:00"/>
        <d v="2025-12-31T00:00:00"/>
        <d v="2025-02-13T00:00:00"/>
        <d v="2025-02-18T00:00:00"/>
        <d v="2025-02-15T00:00:00"/>
        <d v="2025-04-25T00:00:00"/>
        <d v="2025-10-10T00:00:00"/>
        <d v="2025-01-21T00:00:00"/>
        <d v="2025-03-29T00:00:00"/>
        <d v="2025-07-05T00:00:00"/>
        <d v="2025-06-06T00:00:00"/>
        <d v="2025-02-28T00:00:00"/>
        <d v="2025-08-19T00:00:00"/>
        <d v="2025-11-12T00:00:00"/>
        <d v="2025-08-20T00:00:00"/>
        <d v="2025-09-02T00:00:00"/>
        <d v="2025-03-27T00:00:00"/>
        <d v="2025-01-12T00:00:00"/>
        <d v="2025-06-18T00:00:00"/>
        <d v="2025-02-22T00:00:00"/>
        <d v="2025-04-28T00:00:00"/>
        <d v="2025-12-12T00:00:00"/>
        <d v="2025-01-20T00:00:00"/>
        <d v="2025-01-25T00:00:00"/>
        <d v="2025-09-09T00:00:00"/>
        <d v="2025-02-08T00:00:00"/>
        <d v="2025-01-22T00:00:00"/>
        <d v="2025-07-14T00:00:00"/>
        <d v="2025-08-30T00:00:00"/>
        <d v="2025-01-08T00:00:00"/>
        <d v="2025-10-25T00:00:00"/>
        <d v="2025-12-01T00:00:00"/>
        <d v="2025-11-06T00:00:00"/>
        <d v="2025-11-03T00:00:00"/>
        <d v="2025-09-25T00:00:00"/>
        <d v="2025-10-12T00:00:00"/>
        <d v="2025-12-26T00:00:00"/>
        <d v="2025-02-07T00:00:00"/>
        <d v="2025-06-19T00:00:00"/>
        <d v="2025-04-19T00:00:00"/>
        <d v="2025-04-08T00:00:00"/>
        <d v="2025-09-22T00:00:00"/>
        <d v="2025-06-30T00:00:00"/>
        <d v="2025-05-11T00:00:00"/>
        <d v="2025-02-23T00:00:00"/>
        <d v="2025-04-24T00:00:00"/>
        <d v="2025-08-24T00:00:00"/>
        <d v="2025-10-30T00:00:00"/>
        <d v="2025-06-09T00:00:00"/>
        <d v="2025-06-15T00:00:00"/>
        <d v="2025-04-21T00:00:00"/>
        <d v="2025-01-04T00:00:00"/>
        <d v="2025-05-16T00:00:00"/>
        <d v="2025-03-06T00:00:00"/>
        <d v="2025-09-29T00:00:00"/>
        <d v="2025-06-12T00:00:00"/>
        <d v="2025-05-29T00:00:00"/>
        <d v="2025-03-01T00:00:00"/>
        <d v="2025-05-20T00:00:00"/>
        <d v="2025-05-18T00:00:00"/>
        <d v="2025-03-14T00:00:00"/>
        <d v="2025-01-05T00:00:00"/>
        <d v="2025-04-29T00:00:00"/>
        <d v="2025-02-19T00:00:00"/>
        <d v="2025-06-25T00:00:00"/>
        <d v="2025-03-24T00:00:00"/>
        <d v="2025-11-02T00:00:00"/>
        <d v="2025-09-20T00:00:00"/>
        <d v="2025-09-23T00:00:00"/>
        <d v="2025-12-22T00:00:00"/>
        <d v="2025-03-10T00:00:00"/>
        <d v="2025-01-31T00:00:00"/>
        <d v="2025-04-18T00:00:00"/>
        <d v="2025-08-09T00:00:00"/>
        <d v="2025-10-21T00:00:00"/>
        <d v="2025-06-24T00:00:00"/>
        <d v="2025-10-17T00:00:00"/>
        <d v="2025-10-07T00:00:00"/>
        <d v="2025-04-16T00:00:00"/>
        <d v="2025-08-27T00:00:00"/>
        <d v="2025-06-05T00:00:00"/>
        <d v="2025-03-03T00:00:00"/>
        <d v="2025-06-14T00:00:00"/>
        <d v="2025-08-25T00:00:00"/>
        <d v="2025-08-04T00:00:00"/>
        <d v="2025-11-01T00:00:00"/>
        <d v="2025-07-26T00:00:00"/>
        <d v="2025-04-12T00:00:00"/>
        <d v="2025-06-11T00:00:00"/>
        <d v="2025-12-07T00:00:00"/>
        <d v="2025-06-03T00:00:00"/>
        <d v="2025-08-22T00:00:00"/>
        <d v="2025-06-01T00:00:00"/>
        <d v="2025-12-30T00:00:00"/>
        <d v="2025-04-27T00:00:00"/>
        <d v="2025-01-10T00:00:00"/>
        <d v="2025-07-18T00:00:00"/>
        <d v="2025-07-29T00:00:00"/>
        <d v="2025-03-17T00:00:00"/>
        <d v="2025-03-23T00:00:00"/>
        <d v="2025-09-15T00:00:00"/>
        <d v="2025-06-04T00:00:00"/>
        <d v="2025-06-07T00:00:00"/>
        <d v="2025-07-17T00:00:00"/>
        <d v="2025-05-19T00:00:00"/>
        <d v="2025-04-05T00:00:00"/>
        <d v="2025-09-28T00:00:00"/>
        <d v="2025-02-09T00:00:00"/>
        <d v="2025-01-13T00:00:00"/>
        <d v="2025-08-16T00:00:00"/>
        <d v="2025-04-20T00:00:00"/>
        <d v="2025-02-06T00:00:00"/>
        <d v="2025-10-09T00:00:00"/>
        <d v="2025-09-07T00:00:00"/>
        <d v="2025-11-19T00:00:00"/>
        <d v="2025-07-22T00:00:00"/>
        <d v="2025-02-11T00:00:00"/>
        <d v="2025-08-03T00:00:00"/>
        <d v="2025-01-18T00:00:00"/>
        <d v="2025-10-18T00:00:00"/>
        <d v="2025-05-13T00:00:00"/>
        <d v="2025-04-06T00:00:00"/>
        <d v="2025-03-25T00:00:00"/>
        <d v="2025-03-07T00:00:00"/>
        <d v="2025-11-07T00:00:00"/>
        <d v="2025-04-17T00:00:00"/>
        <d v="2025-10-29T00:00:00"/>
        <d v="2025-11-22T00:00:00"/>
        <d v="2025-08-14T00:00:00"/>
        <d v="2025-04-01T00:00:00"/>
        <d v="2025-02-16T00:00:00"/>
        <d v="2025-06-02T00:00:00"/>
        <d v="2025-05-23T00:00:00"/>
        <d v="2025-09-05T00:00:00"/>
        <d v="2025-11-11T00:00:00"/>
        <d v="2025-12-03T00:00:00"/>
        <d v="2025-03-15T00:00:00"/>
        <d v="2025-01-17T00:00:00"/>
        <d v="2025-06-16T00:00:00"/>
        <d v="2025-01-23T00:00:00"/>
        <d v="2025-10-04T00:00:00"/>
        <d v="2025-10-16T00:00:00"/>
        <d v="2025-09-04T00:00:00"/>
        <d v="2025-05-04T00:00:00"/>
        <d v="2025-11-21T00:00:00"/>
        <d v="2025-04-13T00:00:00"/>
        <d v="2025-12-09T00:00:00"/>
        <d v="2025-07-20T00:00:00"/>
        <d v="2025-12-21T00:00:00"/>
        <d v="2025-12-25T00:00:00"/>
        <d v="2025-08-18T00:00:00"/>
        <d v="2025-02-05T00:00:00"/>
        <d v="2025-05-30T00:00:00"/>
        <d v="2025-11-23T00:00:00"/>
        <d v="2025-05-27T00:00:00"/>
        <d v="2025-09-03T00:00:00"/>
        <d v="2025-09-24T00:00:00"/>
        <d v="2025-01-29T00:00:00"/>
        <d v="2025-12-24T00:00:00"/>
        <d v="2025-09-21T00:00:00"/>
        <d v="2025-01-06T00:00:00"/>
        <d v="2025-07-31T00:00:00"/>
        <d v="2025-07-01T00:00:00"/>
        <d v="2025-01-15T00:00:00"/>
        <d v="2025-11-13T00:00:00"/>
        <d v="2025-06-21T00:00:00"/>
        <d v="2025-10-28T00:00:00"/>
        <d v="2025-02-27T00:00:00"/>
        <d v="2025-10-08T00:00:00"/>
        <d v="2025-06-27T00:00:00"/>
        <d v="2025-03-18T00:00:00"/>
        <d v="2025-04-03T00:00:00"/>
        <d v="2025-02-10T00:00:00"/>
        <d v="2025-12-29T00:00:00"/>
        <d v="2025-12-23T00:00:00"/>
        <d v="2025-11-25T00:00:00"/>
        <d v="2025-02-21T00:00:00"/>
        <d v="2025-06-29T00:00:00"/>
        <d v="2025-11-17T00:00:00"/>
        <d v="2025-12-27T00:00:00"/>
        <d v="2025-08-21T00:00:00"/>
        <d v="2025-12-20T00:00:00"/>
        <d v="2025-09-08T00:00:00"/>
        <d v="2025-05-14T00:00:00"/>
        <d v="2025-07-02T00:00:00"/>
        <d v="2025-08-26T00:00:00"/>
        <d v="2025-11-24T00:00:00"/>
        <d v="2025-03-16T00:00:00"/>
        <d v="2025-04-02T00:00:00"/>
        <d v="2025-01-19T00:00:00"/>
        <d v="2025-03-22T00:00:00"/>
        <d v="2025-10-13T00:00:00"/>
        <d v="2025-06-17T00:00:00"/>
        <d v="2025-12-11T00:00:00"/>
        <d v="2025-02-26T00:00:00"/>
        <d v="2025-12-15T00:00:00"/>
        <d v="2025-02-20T00:00:00"/>
        <d v="2025-10-06T00:00:00"/>
        <d v="2025-12-19T00:00:00"/>
        <d v="2025-06-10T00:00:00"/>
        <d v="2025-05-15T00:00:00"/>
        <d v="2025-06-13T00:00:00"/>
        <d v="2025-10-31T00:00:00"/>
        <d v="2025-09-18T00:00:00"/>
        <d v="2025-01-28T00:00:00"/>
        <d v="2025-05-08T00:00:00"/>
        <d v="2025-10-05T00:00:00"/>
        <d v="2025-09-26T00:00:00"/>
        <d v="2025-11-26T00:00:00"/>
        <d v="2025-11-08T00:00:00"/>
        <d v="2025-06-20T00:00:00"/>
        <d v="2025-10-22T00:00:00"/>
        <d v="2025-08-31T00:00:00"/>
        <d v="2025-07-21T00:00:00"/>
        <d v="2025-03-19T00:00:00"/>
        <d v="2025-02-04T00:00:00"/>
        <d v="2025-04-07T00:00:00"/>
        <d v="2025-11-30T00:00:00"/>
        <d v="2025-01-11T00:00:00"/>
        <d v="2025-03-31T00:00:00"/>
        <d v="2025-05-02T00:00:00"/>
        <d v="2025-09-11T00:00:00"/>
        <d v="2025-03-30T00:00:00"/>
        <s v=""/>
        <d v="2025-11-28T00:00:00"/>
        <d v="2025-08-10T00:00:00"/>
        <d v="2025-12-08T00:00:00"/>
        <d v="2025-07-07T00:00:00"/>
        <d v="2025-02-12T00:00:00"/>
        <d v="2025-03-05T00:00:00"/>
        <d v="2025-07-15T00:00:00"/>
        <d v="2025-06-28T00:00:00"/>
      </sharedItems>
    </cacheField>
    <cacheField name="Year_Month" numFmtId="0">
      <sharedItems count="13">
        <s v="2025-12"/>
        <s v="2025-08"/>
        <s v="2025-01"/>
        <s v="2025-10"/>
        <s v="2025-05"/>
        <s v="2025-04"/>
        <s v="2025-07"/>
        <s v="2025-11"/>
        <s v="2025-03"/>
        <s v="2025-02"/>
        <s v="2025-09"/>
        <s v="2025-06"/>
        <s v="Invalid/Missing"/>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edVedica" refreshedDate="46292.745767824075" createdVersion="6" refreshedVersion="6" minRefreshableVersion="3" recordCount="502">
  <cacheSource type="worksheet">
    <worksheetSource name="Table1"/>
  </cacheSource>
  <cacheFields count="15">
    <cacheField name="Order_ID" numFmtId="0">
      <sharedItems/>
    </cacheField>
    <cacheField name="Order_Date" numFmtId="0">
      <sharedItems containsDate="1" containsMixedTypes="1" minDate="2025-01-01T00:00:00" maxDate="2026-01-01T00:00:00"/>
    </cacheField>
    <cacheField name="Customer_ID" numFmtId="0">
      <sharedItems containsBlank="1"/>
    </cacheField>
    <cacheField name="Product" numFmtId="0">
      <sharedItems/>
    </cacheField>
    <cacheField name="Category" numFmtId="0">
      <sharedItems/>
    </cacheField>
    <cacheField name="Region" numFmtId="0">
      <sharedItems containsBlank="1" count="5">
        <s v="South"/>
        <s v="East"/>
        <s v="West"/>
        <s v="North"/>
        <m/>
      </sharedItems>
    </cacheField>
    <cacheField name="Quantity" numFmtId="0">
      <sharedItems containsSemiMixedTypes="0" containsString="0" containsNumber="1" containsInteger="1" minValue="0" maxValue="5"/>
    </cacheField>
    <cacheField name="Unit_Price" numFmtId="0">
      <sharedItems containsString="0" containsBlank="1" containsNumber="1" minValue="-25" maxValue="179.42"/>
    </cacheField>
    <cacheField name="Discount" numFmtId="0">
      <sharedItems containsSemiMixedTypes="0" containsString="0" containsNumber="1" minValue="0" maxValue="1.25"/>
    </cacheField>
    <cacheField name="Revenue" numFmtId="0">
      <sharedItems containsSemiMixedTypes="0" containsString="0" containsNumber="1" minValue="9.3000000000000007" maxValue="892.65"/>
    </cacheField>
    <cacheField name="Cost" numFmtId="0">
      <sharedItems containsSemiMixedTypes="0" containsString="0" containsNumber="1" minValue="6.13" maxValue="727.4"/>
    </cacheField>
    <cacheField name="Profit" numFmtId="0">
      <sharedItems containsSemiMixedTypes="0" containsString="0" containsNumber="1" minValue="2.19" maxValue="361.63"/>
    </cacheField>
    <cacheField name="Order_Status" numFmtId="0">
      <sharedItems/>
    </cacheField>
    <cacheField name="Expected_Revenue" numFmtId="0">
      <sharedItems/>
    </cacheField>
    <cacheField name="New_profit "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99">
  <r>
    <s v="ORD0088"/>
    <d v="2025-12-16T00:00:00"/>
    <x v="0"/>
    <x v="0"/>
    <x v="0"/>
    <s v="South"/>
    <n v="1"/>
    <n v="9.3000000000000007"/>
    <x v="0"/>
    <x v="0"/>
    <n v="6.13"/>
    <n v="3.17"/>
    <x v="0"/>
    <s v="OK"/>
    <s v="OK"/>
    <x v="0"/>
    <x v="0"/>
  </r>
  <r>
    <s v="ORD0212"/>
    <d v="2025-08-06T00:00:00"/>
    <x v="1"/>
    <x v="1"/>
    <x v="1"/>
    <s v="South"/>
    <n v="1"/>
    <n v="10.72"/>
    <x v="0"/>
    <x v="1"/>
    <n v="8.5299999999999994"/>
    <n v="2.19"/>
    <x v="0"/>
    <s v="OK"/>
    <s v="OK"/>
    <x v="1"/>
    <x v="1"/>
  </r>
  <r>
    <s v="ORD0194"/>
    <d v="2025-01-01T00:00:00"/>
    <x v="2"/>
    <x v="2"/>
    <x v="2"/>
    <s v="East"/>
    <n v="1"/>
    <n v="13.23"/>
    <x v="1"/>
    <x v="2"/>
    <n v="8.51"/>
    <n v="2.74"/>
    <x v="1"/>
    <s v="OK"/>
    <s v="OK"/>
    <x v="2"/>
    <x v="2"/>
  </r>
  <r>
    <s v="ORD0054"/>
    <d v="2025-10-11T00:00:00"/>
    <x v="3"/>
    <x v="3"/>
    <x v="1"/>
    <s v="West"/>
    <n v="1"/>
    <n v="17.2"/>
    <x v="2"/>
    <x v="3"/>
    <n v="11.07"/>
    <n v="2.69"/>
    <x v="1"/>
    <s v="OK"/>
    <s v="OK"/>
    <x v="3"/>
    <x v="3"/>
  </r>
  <r>
    <s v="ORD0296"/>
    <d v="2025-05-05T00:00:00"/>
    <x v="4"/>
    <x v="4"/>
    <x v="0"/>
    <s v="South"/>
    <n v="1"/>
    <n v="16.28"/>
    <x v="1"/>
    <x v="4"/>
    <n v="11.15"/>
    <n v="2.69"/>
    <x v="1"/>
    <s v="OK"/>
    <s v="OK"/>
    <x v="4"/>
    <x v="4"/>
  </r>
  <r>
    <s v="ORD0411"/>
    <d v="2025-05-17T00:00:00"/>
    <x v="5"/>
    <x v="5"/>
    <x v="3"/>
    <s v="East"/>
    <n v="1"/>
    <n v="16.68"/>
    <x v="3"/>
    <x v="5"/>
    <n v="9.99"/>
    <n v="5.0199999999999996"/>
    <x v="1"/>
    <s v="OK"/>
    <s v="OK"/>
    <x v="5"/>
    <x v="4"/>
  </r>
  <r>
    <s v="ORD0173"/>
    <d v="2025-12-14T00:00:00"/>
    <x v="6"/>
    <x v="6"/>
    <x v="0"/>
    <s v="West"/>
    <n v="1"/>
    <n v="16.940000000000001"/>
    <x v="4"/>
    <x v="6"/>
    <n v="12.27"/>
    <n v="3.82"/>
    <x v="1"/>
    <s v="OK"/>
    <s v="OK"/>
    <x v="6"/>
    <x v="0"/>
  </r>
  <r>
    <s v="ORD0315"/>
    <d v="2025-04-09T00:00:00"/>
    <x v="7"/>
    <x v="1"/>
    <x v="1"/>
    <s v="East"/>
    <n v="1"/>
    <n v="19.59"/>
    <x v="4"/>
    <x v="7"/>
    <n v="14.99"/>
    <n v="3.62"/>
    <x v="0"/>
    <s v="OK"/>
    <s v="OK"/>
    <x v="7"/>
    <x v="5"/>
  </r>
  <r>
    <s v="ORD0495"/>
    <d v="2025-07-27T00:00:00"/>
    <x v="8"/>
    <x v="7"/>
    <x v="1"/>
    <s v="West"/>
    <n v="1"/>
    <n v="23.31"/>
    <x v="2"/>
    <x v="8"/>
    <n v="13.28"/>
    <n v="5.37"/>
    <x v="0"/>
    <s v="OK"/>
    <s v="OK"/>
    <x v="8"/>
    <x v="6"/>
  </r>
  <r>
    <s v="ORD0119"/>
    <d v="2025-04-22T00:00:00"/>
    <x v="9"/>
    <x v="7"/>
    <x v="1"/>
    <s v="East"/>
    <n v="2"/>
    <n v="10.24"/>
    <x v="0"/>
    <x v="9"/>
    <n v="12.54"/>
    <n v="7.94"/>
    <x v="1"/>
    <s v="OK"/>
    <s v="OK"/>
    <x v="9"/>
    <x v="5"/>
  </r>
  <r>
    <s v="ORD0089"/>
    <d v="2025-08-11T00:00:00"/>
    <x v="10"/>
    <x v="5"/>
    <x v="3"/>
    <s v="South"/>
    <n v="1"/>
    <n v="21.8"/>
    <x v="4"/>
    <x v="10"/>
    <n v="13.94"/>
    <n v="6.77"/>
    <x v="0"/>
    <s v="OK"/>
    <s v="OK"/>
    <x v="10"/>
    <x v="1"/>
  </r>
  <r>
    <s v="ORD0351"/>
    <d v="2025-04-11T00:00:00"/>
    <x v="11"/>
    <x v="1"/>
    <x v="1"/>
    <s v="East"/>
    <n v="1"/>
    <n v="26.12"/>
    <x v="3"/>
    <x v="11"/>
    <n v="17.47"/>
    <n v="6.04"/>
    <x v="1"/>
    <s v="OK"/>
    <s v="OK"/>
    <x v="11"/>
    <x v="5"/>
  </r>
  <r>
    <s v="ORD0072"/>
    <d v="2025-10-15T00:00:00"/>
    <x v="12"/>
    <x v="6"/>
    <x v="0"/>
    <s v="West"/>
    <n v="1"/>
    <n v="30.22"/>
    <x v="2"/>
    <x v="12"/>
    <n v="17.7"/>
    <n v="6.48"/>
    <x v="1"/>
    <s v="OK"/>
    <s v="OK"/>
    <x v="12"/>
    <x v="3"/>
  </r>
  <r>
    <s v="ORD0277"/>
    <d v="2025-08-15T00:00:00"/>
    <x v="10"/>
    <x v="8"/>
    <x v="1"/>
    <s v="East"/>
    <n v="1"/>
    <n v="24.19"/>
    <x v="0"/>
    <x v="13"/>
    <n v="15.35"/>
    <n v="8.84"/>
    <x v="1"/>
    <s v="OK"/>
    <s v="OK"/>
    <x v="13"/>
    <x v="1"/>
  </r>
  <r>
    <s v="ORD0202"/>
    <d v="2025-10-19T00:00:00"/>
    <x v="13"/>
    <x v="0"/>
    <x v="0"/>
    <s v="East"/>
    <n v="3"/>
    <n v="9.3000000000000007"/>
    <x v="3"/>
    <x v="14"/>
    <n v="20.58"/>
    <n v="4.53"/>
    <x v="1"/>
    <s v="OK"/>
    <s v="OK"/>
    <x v="14"/>
    <x v="3"/>
  </r>
  <r>
    <s v="ORD0133"/>
    <d v="2025-11-14T00:00:00"/>
    <x v="14"/>
    <x v="3"/>
    <x v="1"/>
    <s v="West"/>
    <n v="1"/>
    <n v="31.53"/>
    <x v="2"/>
    <x v="15"/>
    <n v="17.25"/>
    <n v="7.97"/>
    <x v="0"/>
    <s v="OK"/>
    <s v="OK"/>
    <x v="15"/>
    <x v="7"/>
  </r>
  <r>
    <s v="ORD0370"/>
    <d v="2025-03-11T00:00:00"/>
    <x v="15"/>
    <x v="7"/>
    <x v="1"/>
    <s v="West"/>
    <n v="1"/>
    <n v="31.56"/>
    <x v="2"/>
    <x v="16"/>
    <n v="17.88"/>
    <n v="7.37"/>
    <x v="0"/>
    <s v="OK"/>
    <s v="OK"/>
    <x v="16"/>
    <x v="8"/>
  </r>
  <r>
    <s v="ORD0320"/>
    <d v="2025-03-08T00:00:00"/>
    <x v="16"/>
    <x v="9"/>
    <x v="2"/>
    <s v="North"/>
    <n v="1"/>
    <n v="26.1"/>
    <x v="0"/>
    <x v="17"/>
    <n v="21.97"/>
    <n v="4.13"/>
    <x v="1"/>
    <s v="OK"/>
    <s v="OK"/>
    <x v="17"/>
    <x v="8"/>
  </r>
  <r>
    <s v="ORD0018"/>
    <d v="2025-08-13T00:00:00"/>
    <x v="13"/>
    <x v="0"/>
    <x v="0"/>
    <s v="South"/>
    <n v="3"/>
    <n v="9.1999999999999993"/>
    <x v="4"/>
    <x v="18"/>
    <n v="17.7"/>
    <n v="8.52"/>
    <x v="2"/>
    <s v="OK"/>
    <s v="OK"/>
    <x v="18"/>
    <x v="1"/>
  </r>
  <r>
    <s v="ORD0182"/>
    <d v="2025-01-14T00:00:00"/>
    <x v="17"/>
    <x v="4"/>
    <x v="0"/>
    <s v="South"/>
    <n v="1"/>
    <n v="30.63"/>
    <x v="3"/>
    <x v="19"/>
    <n v="22.68"/>
    <n v="4.8899999999999997"/>
    <x v="1"/>
    <s v="OK"/>
    <s v="OK"/>
    <x v="19"/>
    <x v="2"/>
  </r>
  <r>
    <s v="ORD0482"/>
    <d v="2025-07-24T00:00:00"/>
    <x v="18"/>
    <x v="8"/>
    <x v="1"/>
    <s v="South"/>
    <n v="4"/>
    <n v="8.11"/>
    <x v="1"/>
    <x v="19"/>
    <n v="21.72"/>
    <n v="5.85"/>
    <x v="0"/>
    <s v="OK"/>
    <s v="OK"/>
    <x v="20"/>
    <x v="6"/>
  </r>
  <r>
    <s v="ORD0333"/>
    <d v="2025-03-04T00:00:00"/>
    <x v="19"/>
    <x v="10"/>
    <x v="0"/>
    <s v="East"/>
    <n v="4"/>
    <n v="8.5399999999999991"/>
    <x v="3"/>
    <x v="20"/>
    <n v="19.66"/>
    <n v="11.08"/>
    <x v="1"/>
    <s v="OK"/>
    <s v="OK"/>
    <x v="21"/>
    <x v="8"/>
  </r>
  <r>
    <s v="ORD0112"/>
    <d v="2025-03-04T00:00:00"/>
    <x v="20"/>
    <x v="11"/>
    <x v="3"/>
    <s v="North"/>
    <n v="1"/>
    <n v="38.619999999999997"/>
    <x v="2"/>
    <x v="21"/>
    <n v="18.37"/>
    <n v="12.53"/>
    <x v="0"/>
    <s v="OK"/>
    <s v="OK"/>
    <x v="21"/>
    <x v="8"/>
  </r>
  <r>
    <s v="ORD0023"/>
    <d v="2025-05-28T00:00:00"/>
    <x v="5"/>
    <x v="12"/>
    <x v="2"/>
    <s v="East"/>
    <n v="1"/>
    <n v="33.92"/>
    <x v="4"/>
    <x v="22"/>
    <n v="24.45"/>
    <n v="7.77"/>
    <x v="1"/>
    <s v="OK"/>
    <s v="OK"/>
    <x v="22"/>
    <x v="4"/>
  </r>
  <r>
    <s v="ORD0381"/>
    <d v="2025-03-09T00:00:00"/>
    <x v="21"/>
    <x v="6"/>
    <x v="0"/>
    <s v="West"/>
    <n v="1"/>
    <n v="38.14"/>
    <x v="1"/>
    <x v="23"/>
    <n v="20.58"/>
    <n v="11.84"/>
    <x v="2"/>
    <s v="OK"/>
    <s v="OK"/>
    <x v="23"/>
    <x v="8"/>
  </r>
  <r>
    <s v="ORD0161"/>
    <d v="2025-10-15T00:00:00"/>
    <x v="22"/>
    <x v="1"/>
    <x v="1"/>
    <s v="East"/>
    <n v="1"/>
    <n v="36.14"/>
    <x v="3"/>
    <x v="24"/>
    <n v="24.66"/>
    <n v="7.87"/>
    <x v="0"/>
    <s v="OK"/>
    <s v="OK"/>
    <x v="12"/>
    <x v="3"/>
  </r>
  <r>
    <s v="ORD0132"/>
    <d v="2025-10-02T00:00:00"/>
    <x v="23"/>
    <x v="8"/>
    <x v="1"/>
    <s v="West"/>
    <n v="5"/>
    <n v="8.4"/>
    <x v="2"/>
    <x v="25"/>
    <n v="18.53"/>
    <n v="15.07"/>
    <x v="0"/>
    <s v="OK"/>
    <s v="OK"/>
    <x v="24"/>
    <x v="3"/>
  </r>
  <r>
    <s v="ORD0377"/>
    <d v="2025-02-03T00:00:00"/>
    <x v="24"/>
    <x v="7"/>
    <x v="1"/>
    <s v="West"/>
    <n v="5"/>
    <n v="8.08"/>
    <x v="1"/>
    <x v="26"/>
    <n v="20.47"/>
    <n v="13.87"/>
    <x v="1"/>
    <s v="OK"/>
    <s v="OK"/>
    <x v="25"/>
    <x v="9"/>
  </r>
  <r>
    <s v="ORD0175"/>
    <d v="2025-03-28T00:00:00"/>
    <x v="25"/>
    <x v="3"/>
    <x v="1"/>
    <s v="North"/>
    <n v="1"/>
    <n v="36.21"/>
    <x v="4"/>
    <x v="27"/>
    <n v="26.4"/>
    <n v="8"/>
    <x v="0"/>
    <s v="OK"/>
    <s v="OK"/>
    <x v="26"/>
    <x v="8"/>
  </r>
  <r>
    <s v="ORD0399"/>
    <d v="2025-11-09T00:00:00"/>
    <x v="26"/>
    <x v="8"/>
    <x v="1"/>
    <s v="East"/>
    <n v="1"/>
    <n v="35.049999999999997"/>
    <x v="0"/>
    <x v="28"/>
    <n v="22.33"/>
    <n v="12.72"/>
    <x v="1"/>
    <s v="OK"/>
    <s v="OK"/>
    <x v="27"/>
    <x v="7"/>
  </r>
  <r>
    <s v="ORD0217"/>
    <d v="2025-05-25T00:00:00"/>
    <x v="27"/>
    <x v="3"/>
    <x v="1"/>
    <s v="West"/>
    <n v="1"/>
    <n v="37.32"/>
    <x v="4"/>
    <x v="29"/>
    <n v="23.99"/>
    <n v="11.46"/>
    <x v="0"/>
    <s v="OK"/>
    <s v="OK"/>
    <x v="28"/>
    <x v="4"/>
  </r>
  <r>
    <s v="ORD0082"/>
    <d v="2025-09-10T00:00:00"/>
    <x v="28"/>
    <x v="3"/>
    <x v="1"/>
    <s v="East"/>
    <n v="5"/>
    <n v="8.4499999999999993"/>
    <x v="1"/>
    <x v="30"/>
    <n v="20.66"/>
    <n v="15.25"/>
    <x v="1"/>
    <s v="OK"/>
    <s v="OK"/>
    <x v="29"/>
    <x v="10"/>
  </r>
  <r>
    <s v="ORD0032"/>
    <d v="2025-07-11T00:00:00"/>
    <x v="29"/>
    <x v="7"/>
    <x v="1"/>
    <s v="West"/>
    <n v="1"/>
    <n v="41.58"/>
    <x v="3"/>
    <x v="31"/>
    <n v="23.73"/>
    <n v="13.69"/>
    <x v="1"/>
    <s v="OK"/>
    <s v="OK"/>
    <x v="30"/>
    <x v="6"/>
  </r>
  <r>
    <s v="ORD0340"/>
    <d v="2025-11-18T00:00:00"/>
    <x v="30"/>
    <x v="3"/>
    <x v="1"/>
    <s v="West"/>
    <n v="2"/>
    <n v="21.22"/>
    <x v="4"/>
    <x v="32"/>
    <n v="31.79"/>
    <n v="8.5299999999999994"/>
    <x v="0"/>
    <s v="OK"/>
    <s v="OK"/>
    <x v="31"/>
    <x v="7"/>
  </r>
  <r>
    <s v="ORD0375"/>
    <d v="2025-09-12T00:00:00"/>
    <x v="31"/>
    <x v="11"/>
    <x v="3"/>
    <s v="North"/>
    <n v="4"/>
    <n v="10.08"/>
    <x v="0"/>
    <x v="32"/>
    <n v="26.49"/>
    <n v="13.83"/>
    <x v="0"/>
    <s v="OK"/>
    <s v="OK"/>
    <x v="32"/>
    <x v="10"/>
  </r>
  <r>
    <s v="ORD0415"/>
    <d v="2025-10-26T00:00:00"/>
    <x v="32"/>
    <x v="0"/>
    <x v="0"/>
    <s v="South"/>
    <n v="4"/>
    <n v="10.36"/>
    <x v="0"/>
    <x v="33"/>
    <n v="25.46"/>
    <n v="15.98"/>
    <x v="2"/>
    <s v="OK"/>
    <s v="OK"/>
    <x v="33"/>
    <x v="3"/>
  </r>
  <r>
    <s v="ORD0025"/>
    <d v="2025-05-24T00:00:00"/>
    <x v="33"/>
    <x v="13"/>
    <x v="2"/>
    <s v="West"/>
    <n v="1"/>
    <n v="43.96"/>
    <x v="4"/>
    <x v="34"/>
    <n v="31.68"/>
    <n v="10.08"/>
    <x v="0"/>
    <s v="OK"/>
    <s v="OK"/>
    <x v="34"/>
    <x v="4"/>
  </r>
  <r>
    <s v="ORD0094"/>
    <d v="2025-04-04T00:00:00"/>
    <x v="34"/>
    <x v="13"/>
    <x v="2"/>
    <s v="North"/>
    <n v="5"/>
    <n v="8.4700000000000006"/>
    <x v="0"/>
    <x v="35"/>
    <n v="29.3"/>
    <n v="13.05"/>
    <x v="1"/>
    <s v="OK"/>
    <s v="OK"/>
    <x v="35"/>
    <x v="5"/>
  </r>
  <r>
    <s v="ORD0275"/>
    <d v="2025-08-02T00:00:00"/>
    <x v="35"/>
    <x v="2"/>
    <x v="2"/>
    <s v="West"/>
    <n v="1"/>
    <n v="42.63"/>
    <x v="0"/>
    <x v="36"/>
    <n v="25.55"/>
    <n v="17.079999999999998"/>
    <x v="0"/>
    <s v="OK"/>
    <s v="OK"/>
    <x v="36"/>
    <x v="1"/>
  </r>
  <r>
    <s v="ORD0042"/>
    <d v="2025-05-09T00:00:00"/>
    <x v="36"/>
    <x v="7"/>
    <x v="1"/>
    <s v="South"/>
    <n v="2"/>
    <n v="21.49"/>
    <x v="0"/>
    <x v="37"/>
    <n v="36.049999999999997"/>
    <n v="6.93"/>
    <x v="1"/>
    <s v="OK"/>
    <s v="OK"/>
    <x v="37"/>
    <x v="4"/>
  </r>
  <r>
    <s v="ORD0448"/>
    <d v="2025-06-22T00:00:00"/>
    <x v="37"/>
    <x v="5"/>
    <x v="3"/>
    <s v="North"/>
    <n v="1"/>
    <n v="53.42"/>
    <x v="1"/>
    <x v="38"/>
    <n v="33.64"/>
    <n v="11.77"/>
    <x v="1"/>
    <s v="OK"/>
    <s v="OK"/>
    <x v="38"/>
    <x v="11"/>
  </r>
  <r>
    <s v="ORD0190"/>
    <d v="2025-10-26T00:00:00"/>
    <x v="38"/>
    <x v="0"/>
    <x v="0"/>
    <s v="South"/>
    <n v="3"/>
    <n v="15.15"/>
    <x v="0"/>
    <x v="39"/>
    <n v="38.450000000000003"/>
    <n v="7"/>
    <x v="1"/>
    <s v="OK"/>
    <s v="OK"/>
    <x v="33"/>
    <x v="3"/>
  </r>
  <r>
    <s v="ORD0342"/>
    <d v="2025-11-09T00:00:00"/>
    <x v="39"/>
    <x v="0"/>
    <x v="0"/>
    <s v="South"/>
    <n v="1"/>
    <n v="45.72"/>
    <x v="0"/>
    <x v="40"/>
    <n v="28.09"/>
    <n v="17.63"/>
    <x v="1"/>
    <s v="OK"/>
    <s v="OK"/>
    <x v="27"/>
    <x v="7"/>
  </r>
  <r>
    <s v="ORD0053"/>
    <d v="2025-08-05T00:00:00"/>
    <x v="40"/>
    <x v="4"/>
    <x v="0"/>
    <s v="North"/>
    <n v="1"/>
    <n v="48.98"/>
    <x v="4"/>
    <x v="41"/>
    <n v="33.049999999999997"/>
    <n v="13.48"/>
    <x v="0"/>
    <s v="OK"/>
    <s v="OK"/>
    <x v="39"/>
    <x v="1"/>
  </r>
  <r>
    <s v="ORD0011"/>
    <d v="2025-02-02T00:00:00"/>
    <x v="11"/>
    <x v="14"/>
    <x v="3"/>
    <s v="East"/>
    <n v="2"/>
    <n v="27.93"/>
    <x v="1"/>
    <x v="42"/>
    <n v="34.99"/>
    <n v="12.49"/>
    <x v="1"/>
    <s v="OK"/>
    <s v="OK"/>
    <x v="40"/>
    <x v="9"/>
  </r>
  <r>
    <s v="ORD0391"/>
    <d v="2025-11-20T00:00:00"/>
    <x v="11"/>
    <x v="14"/>
    <x v="3"/>
    <s v="West"/>
    <n v="1"/>
    <n v="54.24"/>
    <x v="3"/>
    <x v="43"/>
    <n v="33.909999999999997"/>
    <n v="14.91"/>
    <x v="1"/>
    <s v="OK"/>
    <s v="OK"/>
    <x v="41"/>
    <x v="7"/>
  </r>
  <r>
    <s v="ORD0295"/>
    <d v="2025-05-22T00:00:00"/>
    <x v="41"/>
    <x v="10"/>
    <x v="0"/>
    <s v="East"/>
    <n v="1"/>
    <n v="49.61"/>
    <x v="0"/>
    <x v="44"/>
    <n v="34.26"/>
    <n v="15.35"/>
    <x v="1"/>
    <s v="OK"/>
    <s v="OK"/>
    <x v="42"/>
    <x v="4"/>
  </r>
  <r>
    <s v="ORD0247"/>
    <d v="2025-05-06T00:00:00"/>
    <x v="42"/>
    <x v="3"/>
    <x v="1"/>
    <s v="South"/>
    <n v="1"/>
    <n v="52.45"/>
    <x v="4"/>
    <x v="45"/>
    <n v="36.92"/>
    <n v="12.91"/>
    <x v="2"/>
    <s v="OK"/>
    <s v="OK"/>
    <x v="43"/>
    <x v="4"/>
  </r>
  <r>
    <s v="ORD0394"/>
    <d v="2025-11-04T00:00:00"/>
    <x v="43"/>
    <x v="6"/>
    <x v="0"/>
    <s v="North"/>
    <n v="3"/>
    <n v="16.93"/>
    <x v="0"/>
    <x v="46"/>
    <n v="31.19"/>
    <n v="19.600000000000001"/>
    <x v="0"/>
    <s v="OK"/>
    <s v="OK"/>
    <x v="44"/>
    <x v="7"/>
  </r>
  <r>
    <s v="ORD0465"/>
    <d v="2025-04-26T00:00:00"/>
    <x v="27"/>
    <x v="8"/>
    <x v="1"/>
    <s v="South"/>
    <n v="4"/>
    <n v="13.46"/>
    <x v="4"/>
    <x v="47"/>
    <n v="29.43"/>
    <n v="21.72"/>
    <x v="0"/>
    <s v="OK"/>
    <s v="OK"/>
    <x v="45"/>
    <x v="5"/>
  </r>
  <r>
    <s v="ORD0294"/>
    <d v="2025-04-30T00:00:00"/>
    <x v="44"/>
    <x v="4"/>
    <x v="0"/>
    <s v="North"/>
    <n v="1"/>
    <n v="60.42"/>
    <x v="1"/>
    <x v="48"/>
    <n v="32.590000000000003"/>
    <n v="18.77"/>
    <x v="0"/>
    <s v="OK"/>
    <s v="OK"/>
    <x v="46"/>
    <x v="5"/>
  </r>
  <r>
    <s v="ORD0231"/>
    <d v="2025-01-07T00:00:00"/>
    <x v="45"/>
    <x v="9"/>
    <x v="2"/>
    <s v="West"/>
    <n v="2"/>
    <n v="30.48"/>
    <x v="1"/>
    <x v="49"/>
    <n v="35.49"/>
    <n v="16.329999999999998"/>
    <x v="2"/>
    <s v="OK"/>
    <s v="OK"/>
    <x v="47"/>
    <x v="2"/>
  </r>
  <r>
    <s v="ORD0114"/>
    <d v="2025-04-23T00:00:00"/>
    <x v="8"/>
    <x v="15"/>
    <x v="3"/>
    <s v="South"/>
    <n v="3"/>
    <n v="19.3"/>
    <x v="3"/>
    <x v="50"/>
    <n v="35.75"/>
    <n v="16.36"/>
    <x v="1"/>
    <s v="OK"/>
    <s v="OK"/>
    <x v="48"/>
    <x v="5"/>
  </r>
  <r>
    <s v="ORD0405"/>
    <d v="2025-08-07T00:00:00"/>
    <x v="46"/>
    <x v="6"/>
    <x v="0"/>
    <s v="West"/>
    <n v="2"/>
    <n v="27.49"/>
    <x v="4"/>
    <x v="51"/>
    <n v="40.29"/>
    <n v="11.94"/>
    <x v="1"/>
    <s v="OK"/>
    <s v="OK"/>
    <x v="49"/>
    <x v="1"/>
  </r>
  <r>
    <s v="ORD0329"/>
    <d v="2025-07-03T00:00:00"/>
    <x v="47"/>
    <x v="11"/>
    <x v="3"/>
    <s v="North"/>
    <n v="4"/>
    <n v="14.53"/>
    <x v="3"/>
    <x v="52"/>
    <n v="37.39"/>
    <n v="14.92"/>
    <x v="2"/>
    <s v="OK"/>
    <s v="OK"/>
    <x v="50"/>
    <x v="6"/>
  </r>
  <r>
    <s v="ORD0477"/>
    <d v="2025-12-31T00:00:00"/>
    <x v="18"/>
    <x v="7"/>
    <x v="1"/>
    <s v="North"/>
    <n v="2"/>
    <n v="29.2"/>
    <x v="3"/>
    <x v="53"/>
    <n v="35.47"/>
    <n v="17.09"/>
    <x v="2"/>
    <s v="OK"/>
    <s v="OK"/>
    <x v="51"/>
    <x v="0"/>
  </r>
  <r>
    <s v="ORD0498"/>
    <d v="2025-02-13T00:00:00"/>
    <x v="48"/>
    <x v="8"/>
    <x v="1"/>
    <s v="East"/>
    <n v="3"/>
    <n v="17.559999999999999"/>
    <x v="0"/>
    <x v="54"/>
    <n v="32.33"/>
    <n v="20.350000000000001"/>
    <x v="2"/>
    <s v="OK"/>
    <s v="OK"/>
    <x v="52"/>
    <x v="9"/>
  </r>
  <r>
    <s v="ORD0242"/>
    <d v="2025-02-18T00:00:00"/>
    <x v="49"/>
    <x v="12"/>
    <x v="2"/>
    <s v="South"/>
    <n v="1"/>
    <n v="58.82"/>
    <x v="3"/>
    <x v="55"/>
    <n v="39.04"/>
    <n v="13.9"/>
    <x v="1"/>
    <s v="OK"/>
    <s v="OK"/>
    <x v="53"/>
    <x v="9"/>
  </r>
  <r>
    <s v="ORD0067"/>
    <d v="2025-02-15T00:00:00"/>
    <x v="50"/>
    <x v="2"/>
    <x v="2"/>
    <s v="North"/>
    <n v="1"/>
    <n v="56.12"/>
    <x v="4"/>
    <x v="56"/>
    <n v="38.96"/>
    <n v="14.35"/>
    <x v="2"/>
    <s v="OK"/>
    <s v="OK"/>
    <x v="54"/>
    <x v="9"/>
  </r>
  <r>
    <s v="ORD0491"/>
    <d v="2025-04-25T00:00:00"/>
    <x v="51"/>
    <x v="2"/>
    <x v="2"/>
    <s v="West"/>
    <n v="1"/>
    <n v="56.64"/>
    <x v="4"/>
    <x v="57"/>
    <n v="34.32"/>
    <n v="19.489999999999998"/>
    <x v="2"/>
    <s v="OK"/>
    <s v="OK"/>
    <x v="55"/>
    <x v="5"/>
  </r>
  <r>
    <s v="ORD0462"/>
    <d v="2025-04-22T00:00:00"/>
    <x v="52"/>
    <x v="13"/>
    <x v="2"/>
    <s v="East"/>
    <n v="4"/>
    <n v="15.28"/>
    <x v="3"/>
    <x v="58"/>
    <n v="37.729999999999997"/>
    <n v="17.28"/>
    <x v="1"/>
    <s v="OK"/>
    <s v="OK"/>
    <x v="9"/>
    <x v="5"/>
  </r>
  <r>
    <s v="ORD0017"/>
    <d v="2025-10-10T00:00:00"/>
    <x v="53"/>
    <x v="14"/>
    <x v="3"/>
    <s v="West"/>
    <n v="2"/>
    <n v="29"/>
    <x v="4"/>
    <x v="59"/>
    <n v="45.29"/>
    <n v="9.81"/>
    <x v="1"/>
    <s v="OK"/>
    <s v="OK"/>
    <x v="56"/>
    <x v="3"/>
  </r>
  <r>
    <s v="ORD0268"/>
    <d v="2025-01-21T00:00:00"/>
    <x v="54"/>
    <x v="0"/>
    <x v="0"/>
    <s v="North"/>
    <n v="4"/>
    <n v="13.78"/>
    <x v="0"/>
    <x v="60"/>
    <n v="45.3"/>
    <n v="9.82"/>
    <x v="1"/>
    <s v="OK"/>
    <s v="OK"/>
    <x v="57"/>
    <x v="2"/>
  </r>
  <r>
    <s v="ORD0249"/>
    <d v="2025-03-29T00:00:00"/>
    <x v="55"/>
    <x v="6"/>
    <x v="0"/>
    <s v="North"/>
    <n v="2"/>
    <n v="30.66"/>
    <x v="3"/>
    <x v="61"/>
    <n v="43.89"/>
    <n v="11.3"/>
    <x v="1"/>
    <s v="OK"/>
    <s v="OK"/>
    <x v="58"/>
    <x v="8"/>
  </r>
  <r>
    <s v="ORD0359"/>
    <d v="2025-07-05T00:00:00"/>
    <x v="56"/>
    <x v="5"/>
    <x v="3"/>
    <s v="South"/>
    <n v="1"/>
    <n v="61.64"/>
    <x v="3"/>
    <x v="62"/>
    <n v="43.38"/>
    <n v="12.1"/>
    <x v="0"/>
    <s v="OK"/>
    <s v="OK"/>
    <x v="59"/>
    <x v="6"/>
  </r>
  <r>
    <s v="ORD0345"/>
    <d v="2025-02-18T00:00:00"/>
    <x v="57"/>
    <x v="2"/>
    <x v="2"/>
    <s v="North"/>
    <n v="2"/>
    <n v="31.02"/>
    <x v="3"/>
    <x v="63"/>
    <n v="31.62"/>
    <n v="24.22"/>
    <x v="0"/>
    <s v="OK"/>
    <s v="OK"/>
    <x v="53"/>
    <x v="9"/>
  </r>
  <r>
    <s v="ORD0318"/>
    <d v="2025-06-06T00:00:00"/>
    <x v="58"/>
    <x v="13"/>
    <x v="2"/>
    <s v="West"/>
    <n v="4"/>
    <n v="15.7"/>
    <x v="3"/>
    <x v="64"/>
    <n v="47.14"/>
    <n v="9.3800000000000008"/>
    <x v="1"/>
    <s v="OK"/>
    <s v="OK"/>
    <x v="60"/>
    <x v="11"/>
  </r>
  <r>
    <s v="ORD0003"/>
    <d v="2025-02-28T00:00:00"/>
    <x v="59"/>
    <x v="13"/>
    <x v="2"/>
    <s v="West"/>
    <n v="1"/>
    <n v="60.33"/>
    <x v="4"/>
    <x v="65"/>
    <n v="38.950000000000003"/>
    <n v="18.36"/>
    <x v="1"/>
    <s v="OK"/>
    <s v="OK"/>
    <x v="61"/>
    <x v="9"/>
  </r>
  <r>
    <s v="ORD0100"/>
    <d v="2025-08-19T00:00:00"/>
    <x v="45"/>
    <x v="3"/>
    <x v="1"/>
    <s v="West"/>
    <n v="2"/>
    <n v="31.95"/>
    <x v="3"/>
    <x v="66"/>
    <n v="42.33"/>
    <n v="15.18"/>
    <x v="0"/>
    <s v="OK"/>
    <s v="OK"/>
    <x v="62"/>
    <x v="1"/>
  </r>
  <r>
    <s v="ORD0198"/>
    <d v="2025-11-12T00:00:00"/>
    <x v="60"/>
    <x v="1"/>
    <x v="1"/>
    <s v="North"/>
    <n v="1"/>
    <n v="64.48"/>
    <x v="3"/>
    <x v="67"/>
    <n v="42.53"/>
    <n v="15.5"/>
    <x v="2"/>
    <s v="OK"/>
    <s v="OK"/>
    <x v="63"/>
    <x v="7"/>
  </r>
  <r>
    <s v="ORD0337"/>
    <d v="2025-08-20T00:00:00"/>
    <x v="42"/>
    <x v="3"/>
    <x v="1"/>
    <s v="North"/>
    <n v="1"/>
    <n v="66.790000000000006"/>
    <x v="3"/>
    <x v="68"/>
    <n v="34.31"/>
    <n v="25.8"/>
    <x v="2"/>
    <s v="OK"/>
    <s v="OK"/>
    <x v="64"/>
    <x v="1"/>
  </r>
  <r>
    <s v="ORD0189"/>
    <d v="2025-09-02T00:00:00"/>
    <x v="61"/>
    <x v="1"/>
    <x v="1"/>
    <s v="North"/>
    <n v="4"/>
    <n v="16.89"/>
    <x v="3"/>
    <x v="69"/>
    <n v="37.54"/>
    <n v="23.26"/>
    <x v="2"/>
    <s v="OK"/>
    <s v="OK"/>
    <x v="65"/>
    <x v="10"/>
  </r>
  <r>
    <s v="ORD0027"/>
    <d v="2025-04-26T00:00:00"/>
    <x v="0"/>
    <x v="1"/>
    <x v="1"/>
    <s v="North"/>
    <n v="1"/>
    <n v="68.06"/>
    <x v="3"/>
    <x v="70"/>
    <n v="50.17"/>
    <n v="11.08"/>
    <x v="1"/>
    <s v="OK"/>
    <s v="OK"/>
    <x v="45"/>
    <x v="5"/>
  </r>
  <r>
    <s v="ORD0101"/>
    <d v="2025-03-27T00:00:00"/>
    <x v="62"/>
    <x v="6"/>
    <x v="0"/>
    <s v="South"/>
    <n v="1"/>
    <n v="61.62"/>
    <x v="0"/>
    <x v="71"/>
    <n v="47.64"/>
    <n v="13.98"/>
    <x v="0"/>
    <s v="OK"/>
    <s v="OK"/>
    <x v="66"/>
    <x v="8"/>
  </r>
  <r>
    <s v="ORD0226"/>
    <d v="2025-01-12T00:00:00"/>
    <x v="63"/>
    <x v="15"/>
    <x v="3"/>
    <s v="West"/>
    <n v="5"/>
    <n v="12.44"/>
    <x v="0"/>
    <x v="72"/>
    <n v="52.18"/>
    <n v="10.02"/>
    <x v="0"/>
    <s v="OK"/>
    <s v="OK"/>
    <x v="67"/>
    <x v="2"/>
  </r>
  <r>
    <s v="ORD0335"/>
    <d v="2025-06-18T00:00:00"/>
    <x v="64"/>
    <x v="3"/>
    <x v="1"/>
    <s v="East"/>
    <n v="2"/>
    <n v="31.12"/>
    <x v="0"/>
    <x v="73"/>
    <n v="40.93"/>
    <n v="21.31"/>
    <x v="1"/>
    <s v="OK"/>
    <s v="OK"/>
    <x v="68"/>
    <x v="11"/>
  </r>
  <r>
    <s v="ORD0008"/>
    <d v="2025-02-22T00:00:00"/>
    <x v="65"/>
    <x v="2"/>
    <x v="2"/>
    <s v="South"/>
    <n v="4"/>
    <n v="15.78"/>
    <x v="0"/>
    <x v="74"/>
    <n v="42.08"/>
    <n v="21.04"/>
    <x v="1"/>
    <s v="OK"/>
    <s v="OK"/>
    <x v="69"/>
    <x v="9"/>
  </r>
  <r>
    <s v="ORD0280"/>
    <d v="2025-12-31T00:00:00"/>
    <x v="43"/>
    <x v="15"/>
    <x v="3"/>
    <s v="East"/>
    <n v="2"/>
    <n v="35.17"/>
    <x v="3"/>
    <x v="75"/>
    <n v="49.89"/>
    <n v="13.42"/>
    <x v="1"/>
    <s v="OK"/>
    <s v="OK"/>
    <x v="51"/>
    <x v="0"/>
  </r>
  <r>
    <s v="ORD0260"/>
    <d v="2025-04-28T00:00:00"/>
    <x v="66"/>
    <x v="6"/>
    <x v="0"/>
    <s v="North"/>
    <n v="4"/>
    <n v="18.760000000000002"/>
    <x v="1"/>
    <x v="76"/>
    <n v="49.75"/>
    <n v="14.03"/>
    <x v="1"/>
    <s v="OK"/>
    <s v="OK"/>
    <x v="70"/>
    <x v="5"/>
  </r>
  <r>
    <s v="ORD0080"/>
    <d v="2025-12-12T00:00:00"/>
    <x v="67"/>
    <x v="9"/>
    <x v="2"/>
    <s v="South"/>
    <n v="5"/>
    <n v="13.47"/>
    <x v="4"/>
    <x v="77"/>
    <n v="45.45"/>
    <n v="18.53"/>
    <x v="0"/>
    <s v="OK"/>
    <s v="OK"/>
    <x v="71"/>
    <x v="0"/>
  </r>
  <r>
    <s v="ORD0256"/>
    <d v="2025-01-20T00:00:00"/>
    <x v="68"/>
    <x v="6"/>
    <x v="0"/>
    <s v="East"/>
    <n v="5"/>
    <n v="13"/>
    <x v="0"/>
    <x v="78"/>
    <n v="39.29"/>
    <n v="25.71"/>
    <x v="2"/>
    <s v="OK"/>
    <s v="OK"/>
    <x v="72"/>
    <x v="2"/>
  </r>
  <r>
    <s v="ORD0131"/>
    <d v="2025-01-25T00:00:00"/>
    <x v="69"/>
    <x v="0"/>
    <x v="0"/>
    <s v="East"/>
    <n v="1"/>
    <n v="68.459999999999994"/>
    <x v="4"/>
    <x v="79"/>
    <n v="49.53"/>
    <n v="15.51"/>
    <x v="1"/>
    <s v="OK"/>
    <s v="OK"/>
    <x v="73"/>
    <x v="2"/>
  </r>
  <r>
    <s v="ORD0063"/>
    <d v="2025-09-09T00:00:00"/>
    <x v="5"/>
    <x v="13"/>
    <x v="2"/>
    <s v="East"/>
    <n v="5"/>
    <n v="15.42"/>
    <x v="1"/>
    <x v="80"/>
    <n v="46.42"/>
    <n v="19.12"/>
    <x v="1"/>
    <s v="OK"/>
    <s v="OK"/>
    <x v="74"/>
    <x v="10"/>
  </r>
  <r>
    <s v="ORD0483"/>
    <d v="2025-08-07T00:00:00"/>
    <x v="70"/>
    <x v="13"/>
    <x v="2"/>
    <s v="East"/>
    <n v="1"/>
    <n v="68.41"/>
    <x v="0"/>
    <x v="81"/>
    <n v="47.6"/>
    <n v="20.81"/>
    <x v="1"/>
    <s v="OK"/>
    <s v="OK"/>
    <x v="49"/>
    <x v="1"/>
  </r>
  <r>
    <s v="ORD0290"/>
    <d v="2025-02-08T00:00:00"/>
    <x v="71"/>
    <x v="14"/>
    <x v="3"/>
    <s v="East"/>
    <n v="5"/>
    <n v="13.71"/>
    <x v="0"/>
    <x v="82"/>
    <n v="51.13"/>
    <n v="17.420000000000002"/>
    <x v="0"/>
    <s v="OK"/>
    <s v="OK"/>
    <x v="75"/>
    <x v="9"/>
  </r>
  <r>
    <s v="ORD0206"/>
    <d v="2025-04-28T00:00:00"/>
    <x v="72"/>
    <x v="9"/>
    <x v="2"/>
    <s v="South"/>
    <n v="0"/>
    <n v="72.239999999999995"/>
    <x v="4"/>
    <x v="83"/>
    <n v="40.06"/>
    <n v="28.57"/>
    <x v="2"/>
    <s v="Mismatch"/>
    <s v="OK"/>
    <x v="70"/>
    <x v="5"/>
  </r>
  <r>
    <s v="ORD0248"/>
    <d v="2025-01-22T00:00:00"/>
    <x v="73"/>
    <x v="9"/>
    <x v="2"/>
    <s v="North"/>
    <n v="4"/>
    <n v="17.260000000000002"/>
    <x v="0"/>
    <x v="84"/>
    <n v="53.57"/>
    <n v="15.47"/>
    <x v="1"/>
    <s v="OK"/>
    <s v="OK"/>
    <x v="76"/>
    <x v="2"/>
  </r>
  <r>
    <s v="ORD0384"/>
    <d v="2025-07-14T00:00:00"/>
    <x v="74"/>
    <x v="15"/>
    <x v="3"/>
    <s v="West"/>
    <n v="1"/>
    <n v="70.67"/>
    <x v="0"/>
    <x v="85"/>
    <n v="57.51"/>
    <n v="13.16"/>
    <x v="1"/>
    <s v="OK"/>
    <s v="OK"/>
    <x v="77"/>
    <x v="6"/>
  </r>
  <r>
    <s v="ORD0496"/>
    <d v="2025-01-25T00:00:00"/>
    <x v="12"/>
    <x v="15"/>
    <x v="3"/>
    <s v="East"/>
    <n v="3"/>
    <n v="23.89"/>
    <x v="0"/>
    <x v="86"/>
    <n v="52.22"/>
    <n v="19.45"/>
    <x v="2"/>
    <s v="OK"/>
    <s v="OK"/>
    <x v="73"/>
    <x v="2"/>
  </r>
  <r>
    <s v="ORD0146"/>
    <d v="2025-01-20T00:00:00"/>
    <x v="75"/>
    <x v="14"/>
    <x v="3"/>
    <s v="North"/>
    <n v="5"/>
    <n v="17.95"/>
    <x v="2"/>
    <x v="87"/>
    <n v="58.53"/>
    <n v="13.27"/>
    <x v="1"/>
    <s v="OK"/>
    <s v="OK"/>
    <x v="72"/>
    <x v="2"/>
  </r>
  <r>
    <s v="ORD0233"/>
    <d v="2025-08-30T00:00:00"/>
    <x v="76"/>
    <x v="14"/>
    <x v="3"/>
    <s v="North"/>
    <n v="2"/>
    <n v="40.630000000000003"/>
    <x v="3"/>
    <x v="88"/>
    <n v="47.32"/>
    <n v="25.81"/>
    <x v="1"/>
    <s v="OK"/>
    <s v="OK"/>
    <x v="78"/>
    <x v="1"/>
  </r>
  <r>
    <s v="ORD0369"/>
    <d v="2025-01-08T00:00:00"/>
    <x v="77"/>
    <x v="5"/>
    <x v="3"/>
    <s v="North"/>
    <n v="2"/>
    <n v="39.01"/>
    <x v="4"/>
    <x v="89"/>
    <n v="53.24"/>
    <n v="20.88"/>
    <x v="2"/>
    <s v="OK"/>
    <s v="OK"/>
    <x v="79"/>
    <x v="2"/>
  </r>
  <r>
    <s v="ORD0205"/>
    <d v="2025-10-25T00:00:00"/>
    <x v="49"/>
    <x v="6"/>
    <x v="0"/>
    <s v="West"/>
    <n v="3"/>
    <n v="29.19"/>
    <x v="1"/>
    <x v="90"/>
    <n v="58.79"/>
    <n v="15.64"/>
    <x v="1"/>
    <s v="OK"/>
    <s v="OK"/>
    <x v="80"/>
    <x v="3"/>
  </r>
  <r>
    <s v="ORD0467"/>
    <d v="2025-08-19T00:00:00"/>
    <x v="41"/>
    <x v="4"/>
    <x v="0"/>
    <s v="East"/>
    <n v="1"/>
    <n v="87.98"/>
    <x v="1"/>
    <x v="91"/>
    <n v="42.53"/>
    <n v="32.25"/>
    <x v="0"/>
    <s v="OK"/>
    <s v="OK"/>
    <x v="62"/>
    <x v="1"/>
  </r>
  <r>
    <s v="ORD0180"/>
    <d v="2025-12-01T00:00:00"/>
    <x v="78"/>
    <x v="7"/>
    <x v="1"/>
    <s v="West"/>
    <n v="1"/>
    <n v="83.44"/>
    <x v="3"/>
    <x v="92"/>
    <n v="52.27"/>
    <n v="22.83"/>
    <x v="1"/>
    <s v="OK"/>
    <s v="OK"/>
    <x v="81"/>
    <x v="0"/>
  </r>
  <r>
    <s v="ORD0127"/>
    <d v="2025-11-06T00:00:00"/>
    <x v="79"/>
    <x v="11"/>
    <x v="3"/>
    <s v="North"/>
    <n v="1"/>
    <n v="80.03"/>
    <x v="4"/>
    <x v="93"/>
    <n v="53.65"/>
    <n v="22.38"/>
    <x v="1"/>
    <s v="OK"/>
    <s v="OK"/>
    <x v="82"/>
    <x v="7"/>
  </r>
  <r>
    <s v="ORD0306"/>
    <d v="2025-11-03T00:00:00"/>
    <x v="61"/>
    <x v="8"/>
    <x v="1"/>
    <s v="East"/>
    <n v="1"/>
    <n v="76.290000000000006"/>
    <x v="0"/>
    <x v="94"/>
    <n v="56.08"/>
    <n v="20.21"/>
    <x v="2"/>
    <s v="OK"/>
    <s v="OK"/>
    <x v="83"/>
    <x v="7"/>
  </r>
  <r>
    <s v="ORD0278"/>
    <d v="2025-09-25T00:00:00"/>
    <x v="80"/>
    <x v="2"/>
    <x v="2"/>
    <s v="West"/>
    <n v="1"/>
    <n v="76.349999999999994"/>
    <x v="0"/>
    <x v="95"/>
    <n v="52.1"/>
    <n v="24.25"/>
    <x v="1"/>
    <s v="OK"/>
    <s v="OK"/>
    <x v="84"/>
    <x v="10"/>
  </r>
  <r>
    <s v="ORD0311"/>
    <d v="2025-10-12T00:00:00"/>
    <x v="81"/>
    <x v="13"/>
    <x v="2"/>
    <s v="South"/>
    <n v="1"/>
    <n v="77.53"/>
    <x v="0"/>
    <x v="96"/>
    <n v="60.08"/>
    <n v="17.45"/>
    <x v="1"/>
    <s v="OK"/>
    <s v="OK"/>
    <x v="85"/>
    <x v="3"/>
  </r>
  <r>
    <s v="ORD0078"/>
    <d v="2025-12-26T00:00:00"/>
    <x v="82"/>
    <x v="3"/>
    <x v="1"/>
    <s v="West"/>
    <n v="1"/>
    <n v="87.14"/>
    <x v="3"/>
    <x v="97"/>
    <n v="52.56"/>
    <n v="25.87"/>
    <x v="0"/>
    <s v="OK"/>
    <s v="OK"/>
    <x v="86"/>
    <x v="0"/>
  </r>
  <r>
    <s v="ORD0476"/>
    <d v="2025-02-07T00:00:00"/>
    <x v="83"/>
    <x v="12"/>
    <x v="2"/>
    <s v="North"/>
    <n v="2"/>
    <n v="41.57"/>
    <x v="4"/>
    <x v="98"/>
    <n v="61.01"/>
    <n v="17.97"/>
    <x v="0"/>
    <s v="OK"/>
    <s v="OK"/>
    <x v="87"/>
    <x v="9"/>
  </r>
  <r>
    <s v="ORD0207"/>
    <d v="2025-06-19T00:00:00"/>
    <x v="26"/>
    <x v="13"/>
    <x v="2"/>
    <s v="West"/>
    <n v="2"/>
    <n v="44.47"/>
    <x v="3"/>
    <x v="99"/>
    <n v="53.9"/>
    <n v="26.15"/>
    <x v="2"/>
    <s v="OK"/>
    <s v="OK"/>
    <x v="88"/>
    <x v="11"/>
  </r>
  <r>
    <s v="ORD0239"/>
    <d v="2025-04-19T00:00:00"/>
    <x v="84"/>
    <x v="4"/>
    <x v="0"/>
    <s v="West"/>
    <n v="5"/>
    <n v="16.23"/>
    <x v="0"/>
    <x v="100"/>
    <n v="62.8"/>
    <n v="18.350000000000001"/>
    <x v="1"/>
    <s v="OK"/>
    <s v="OK"/>
    <x v="89"/>
    <x v="5"/>
  </r>
  <r>
    <s v="ORD0022"/>
    <d v="2025-04-08T00:00:00"/>
    <x v="21"/>
    <x v="2"/>
    <x v="2"/>
    <s v="East"/>
    <n v="4"/>
    <n v="21.91"/>
    <x v="4"/>
    <x v="101"/>
    <n v="51.84"/>
    <n v="31.42"/>
    <x v="2"/>
    <s v="OK"/>
    <s v="OK"/>
    <x v="90"/>
    <x v="5"/>
  </r>
  <r>
    <s v="ORD0057"/>
    <d v="2025-09-10T00:00:00"/>
    <x v="85"/>
    <x v="4"/>
    <x v="0"/>
    <s v="South"/>
    <n v="3"/>
    <n v="28.14"/>
    <x v="0"/>
    <x v="102"/>
    <n v="65.72"/>
    <n v="18.7"/>
    <x v="0"/>
    <s v="OK"/>
    <s v="OK"/>
    <x v="29"/>
    <x v="10"/>
  </r>
  <r>
    <s v="ORD0199"/>
    <d v="2025-09-22T00:00:00"/>
    <x v="43"/>
    <x v="0"/>
    <x v="0"/>
    <s v="North"/>
    <n v="1"/>
    <n v="84.44"/>
    <x v="0"/>
    <x v="103"/>
    <n v="61.31"/>
    <n v="23.13"/>
    <x v="1"/>
    <s v="OK"/>
    <s v="OK"/>
    <x v="91"/>
    <x v="10"/>
  </r>
  <r>
    <s v="ORD0474"/>
    <d v="2025-06-30T00:00:00"/>
    <x v="86"/>
    <x v="1"/>
    <x v="1"/>
    <s v="South"/>
    <n v="1"/>
    <n v="87.05"/>
    <x v="0"/>
    <x v="104"/>
    <n v="69.349999999999994"/>
    <n v="17.7"/>
    <x v="1"/>
    <s v="OK"/>
    <s v="OK"/>
    <x v="92"/>
    <x v="11"/>
  </r>
  <r>
    <s v="ORD0049"/>
    <d v="2025-09-10T00:00:00"/>
    <x v="50"/>
    <x v="10"/>
    <x v="0"/>
    <s v="East"/>
    <n v="2"/>
    <n v="43.55"/>
    <x v="0"/>
    <x v="105"/>
    <n v="53.51"/>
    <n v="33.590000000000003"/>
    <x v="1"/>
    <s v="OK"/>
    <s v="OK"/>
    <x v="29"/>
    <x v="10"/>
  </r>
  <r>
    <s v="ORD0479"/>
    <d v="2025-05-11T00:00:00"/>
    <x v="87"/>
    <x v="10"/>
    <x v="0"/>
    <s v="West"/>
    <n v="3"/>
    <n v="32.29"/>
    <x v="3"/>
    <x v="106"/>
    <n v="52.79"/>
    <n v="34.39"/>
    <x v="1"/>
    <s v="OK"/>
    <s v="OK"/>
    <x v="93"/>
    <x v="4"/>
  </r>
  <r>
    <s v="ORD0064"/>
    <d v="2025-02-23T00:00:00"/>
    <x v="88"/>
    <x v="7"/>
    <x v="1"/>
    <s v="East"/>
    <n v="1"/>
    <n v="97.97"/>
    <x v="3"/>
    <x v="107"/>
    <n v="66.900000000000006"/>
    <n v="21.27"/>
    <x v="1"/>
    <s v="OK"/>
    <s v="OK"/>
    <x v="94"/>
    <x v="9"/>
  </r>
  <r>
    <s v="ORD0245"/>
    <d v="2025-04-24T00:00:00"/>
    <x v="89"/>
    <x v="1"/>
    <x v="1"/>
    <s v="West"/>
    <n v="2"/>
    <n v="46.63"/>
    <x v="4"/>
    <x v="108"/>
    <n v="60.21"/>
    <n v="28.39"/>
    <x v="0"/>
    <s v="OK"/>
    <s v="OK"/>
    <x v="95"/>
    <x v="5"/>
  </r>
  <r>
    <s v="ORD0352"/>
    <d v="2025-08-24T00:00:00"/>
    <x v="81"/>
    <x v="12"/>
    <x v="2"/>
    <s v="West"/>
    <n v="1"/>
    <n v="89.87"/>
    <x v="0"/>
    <x v="109"/>
    <n v="66.53"/>
    <n v="23.34"/>
    <x v="1"/>
    <s v="OK"/>
    <s v="OK"/>
    <x v="96"/>
    <x v="1"/>
  </r>
  <r>
    <s v="ORD0356"/>
    <d v="2025-10-30T00:00:00"/>
    <x v="41"/>
    <x v="3"/>
    <x v="1"/>
    <s v="South"/>
    <n v="5"/>
    <n v="17.989999999999998"/>
    <x v="0"/>
    <x v="110"/>
    <n v="63.39"/>
    <n v="26.56"/>
    <x v="0"/>
    <s v="OK"/>
    <s v="OK"/>
    <x v="97"/>
    <x v="3"/>
  </r>
  <r>
    <s v="ORD0047"/>
    <d v="2025-06-09T00:00:00"/>
    <x v="90"/>
    <x v="8"/>
    <x v="1"/>
    <s v="West"/>
    <n v="1"/>
    <n v="100.77"/>
    <x v="3"/>
    <x v="111"/>
    <n v="66.63"/>
    <n v="24.06"/>
    <x v="1"/>
    <s v="OK"/>
    <s v="OK"/>
    <x v="98"/>
    <x v="11"/>
  </r>
  <r>
    <s v="ORD0171"/>
    <d v="2025-06-15T00:00:00"/>
    <x v="91"/>
    <x v="0"/>
    <x v="0"/>
    <s v="South"/>
    <n v="5"/>
    <n v="22.19"/>
    <x v="1"/>
    <x v="112"/>
    <n v="61.99"/>
    <n v="32.32"/>
    <x v="1"/>
    <s v="OK"/>
    <s v="OK"/>
    <x v="99"/>
    <x v="11"/>
  </r>
  <r>
    <s v="ORD0183"/>
    <d v="2025-04-21T00:00:00"/>
    <x v="92"/>
    <x v="1"/>
    <x v="1"/>
    <s v="West"/>
    <n v="5"/>
    <n v="19.89"/>
    <x v="4"/>
    <x v="113"/>
    <n v="54.72"/>
    <n v="39.76"/>
    <x v="2"/>
    <s v="OK"/>
    <s v="OK"/>
    <x v="100"/>
    <x v="5"/>
  </r>
  <r>
    <s v="ORD0289"/>
    <d v="2025-01-04T00:00:00"/>
    <x v="93"/>
    <x v="8"/>
    <x v="1"/>
    <s v="East"/>
    <n v="1"/>
    <n v="120.71"/>
    <x v="2"/>
    <x v="114"/>
    <n v="55.22"/>
    <n v="41.35"/>
    <x v="1"/>
    <s v="OK"/>
    <s v="OK"/>
    <x v="101"/>
    <x v="2"/>
  </r>
  <r>
    <s v="ORD0442"/>
    <d v="2025-05-16T00:00:00"/>
    <x v="36"/>
    <x v="2"/>
    <x v="2"/>
    <s v="North"/>
    <n v="4"/>
    <n v="24.4"/>
    <x v="0"/>
    <x v="115"/>
    <n v="55.1"/>
    <n v="42.5"/>
    <x v="0"/>
    <s v="OK"/>
    <s v="OK"/>
    <x v="102"/>
    <x v="4"/>
  </r>
  <r>
    <s v="ORD0409"/>
    <d v="2025-03-06T00:00:00"/>
    <x v="94"/>
    <x v="0"/>
    <x v="0"/>
    <s v="South"/>
    <n v="1"/>
    <n v="98.43"/>
    <x v="0"/>
    <x v="116"/>
    <n v="54.2"/>
    <n v="44.23"/>
    <x v="0"/>
    <s v="OK"/>
    <s v="OK"/>
    <x v="103"/>
    <x v="8"/>
  </r>
  <r>
    <s v="ORD0043"/>
    <d v="2025-09-29T00:00:00"/>
    <x v="95"/>
    <x v="4"/>
    <x v="0"/>
    <s v="South"/>
    <n v="2"/>
    <n v="49.24"/>
    <x v="0"/>
    <x v="117"/>
    <n v="59.57"/>
    <n v="38.909999999999997"/>
    <x v="2"/>
    <s v="OK"/>
    <s v="OK"/>
    <x v="104"/>
    <x v="10"/>
  </r>
  <r>
    <s v="ORD0041"/>
    <d v="2025-05-25T00:00:00"/>
    <x v="96"/>
    <x v="7"/>
    <x v="1"/>
    <s v="East"/>
    <n v="4"/>
    <n v="30.83"/>
    <x v="2"/>
    <x v="118"/>
    <n v="75.41"/>
    <n v="23.25"/>
    <x v="1"/>
    <s v="OK"/>
    <s v="OK"/>
    <x v="28"/>
    <x v="4"/>
  </r>
  <r>
    <s v="ORD0286"/>
    <d v="2025-06-12T00:00:00"/>
    <x v="28"/>
    <x v="9"/>
    <x v="2"/>
    <s v="South"/>
    <n v="2"/>
    <n v="50.03"/>
    <x v="0"/>
    <x v="119"/>
    <n v="57.65"/>
    <n v="42.41"/>
    <x v="1"/>
    <s v="OK"/>
    <s v="OK"/>
    <x v="105"/>
    <x v="11"/>
  </r>
  <r>
    <s v="ORD0108"/>
    <d v="2025-05-29T00:00:00"/>
    <x v="97"/>
    <x v="5"/>
    <x v="3"/>
    <s v="North"/>
    <n v="4"/>
    <n v="29.44"/>
    <x v="1"/>
    <x v="120"/>
    <n v="81.180000000000007"/>
    <n v="18.920000000000002"/>
    <x v="1"/>
    <s v="OK"/>
    <s v="OK"/>
    <x v="106"/>
    <x v="4"/>
  </r>
  <r>
    <s v="ORD0225"/>
    <d v="2025-01-25T00:00:00"/>
    <x v="98"/>
    <x v="2"/>
    <x v="2"/>
    <s v="North"/>
    <n v="1"/>
    <n v="112.28"/>
    <x v="3"/>
    <x v="121"/>
    <n v="60.88"/>
    <n v="40.17"/>
    <x v="1"/>
    <s v="OK"/>
    <s v="OK"/>
    <x v="73"/>
    <x v="2"/>
  </r>
  <r>
    <s v="ORD0104"/>
    <d v="2025-12-26T00:00:00"/>
    <x v="19"/>
    <x v="12"/>
    <x v="2"/>
    <s v="South"/>
    <n v="2"/>
    <n v="51.31"/>
    <x v="0"/>
    <x v="122"/>
    <n v="62.03"/>
    <n v="40.590000000000003"/>
    <x v="1"/>
    <s v="OK"/>
    <s v="OK"/>
    <x v="86"/>
    <x v="0"/>
  </r>
  <r>
    <s v="ORD0208"/>
    <d v="2025-03-01T00:00:00"/>
    <x v="99"/>
    <x v="13"/>
    <x v="2"/>
    <s v="South"/>
    <n v="2"/>
    <n v="51.97"/>
    <x v="0"/>
    <x v="123"/>
    <n v="79.989999999999995"/>
    <n v="23.95"/>
    <x v="0"/>
    <s v="OK"/>
    <s v="OK"/>
    <x v="107"/>
    <x v="8"/>
  </r>
  <r>
    <s v="ORD0055"/>
    <d v="2025-02-22T00:00:00"/>
    <x v="100"/>
    <x v="8"/>
    <x v="1"/>
    <s v="West"/>
    <n v="5"/>
    <n v="23.77"/>
    <x v="3"/>
    <x v="124"/>
    <n v="76.599999999999994"/>
    <n v="30.36"/>
    <x v="2"/>
    <s v="Mismatch"/>
    <s v="OK"/>
    <x v="69"/>
    <x v="9"/>
  </r>
  <r>
    <s v="ORD0453"/>
    <d v="2025-05-20T00:00:00"/>
    <x v="101"/>
    <x v="2"/>
    <x v="2"/>
    <s v="North"/>
    <n v="1"/>
    <n v="107.19"/>
    <x v="0"/>
    <x v="125"/>
    <n v="62.01"/>
    <n v="45.18"/>
    <x v="0"/>
    <s v="OK"/>
    <s v="OK"/>
    <x v="108"/>
    <x v="4"/>
  </r>
  <r>
    <s v="ORD0446"/>
    <d v="2025-05-18T00:00:00"/>
    <x v="55"/>
    <x v="12"/>
    <x v="2"/>
    <s v="East"/>
    <n v="3"/>
    <n v="39.880000000000003"/>
    <x v="3"/>
    <x v="126"/>
    <n v="87.05"/>
    <n v="20.63"/>
    <x v="0"/>
    <s v="OK"/>
    <s v="OK"/>
    <x v="109"/>
    <x v="4"/>
  </r>
  <r>
    <s v="ORD0213"/>
    <d v="2025-03-14T00:00:00"/>
    <x v="42"/>
    <x v="2"/>
    <x v="2"/>
    <s v="North"/>
    <n v="5"/>
    <n v="21.66"/>
    <x v="0"/>
    <x v="127"/>
    <n v="88.62"/>
    <n v="19.68"/>
    <x v="1"/>
    <s v="OK"/>
    <s v="OK"/>
    <x v="110"/>
    <x v="8"/>
  </r>
  <r>
    <s v="ORD0214"/>
    <d v="2025-01-05T00:00:00"/>
    <x v="77"/>
    <x v="8"/>
    <x v="1"/>
    <s v="East"/>
    <n v="1"/>
    <n v="114.15"/>
    <x v="4"/>
    <x v="128"/>
    <n v="86.7"/>
    <n v="21.74"/>
    <x v="0"/>
    <s v="OK"/>
    <s v="OK"/>
    <x v="111"/>
    <x v="2"/>
  </r>
  <r>
    <s v="ORD0447"/>
    <d v="2025-11-14T00:00:00"/>
    <x v="102"/>
    <x v="7"/>
    <x v="1"/>
    <s v="West"/>
    <n v="1"/>
    <n v="108.56"/>
    <x v="0"/>
    <x v="129"/>
    <n v="74.16"/>
    <n v="34.4"/>
    <x v="1"/>
    <s v="OK"/>
    <s v="OK"/>
    <x v="15"/>
    <x v="7"/>
  </r>
  <r>
    <s v="ORD0157"/>
    <d v="2025-11-20T00:00:00"/>
    <x v="68"/>
    <x v="2"/>
    <x v="2"/>
    <s v="West"/>
    <n v="5"/>
    <n v="25.63"/>
    <x v="1"/>
    <x v="130"/>
    <n v="82.39"/>
    <n v="26.54"/>
    <x v="1"/>
    <s v="OK"/>
    <s v="OK"/>
    <x v="41"/>
    <x v="7"/>
  </r>
  <r>
    <s v="ORD0176"/>
    <d v="2025-04-29T00:00:00"/>
    <x v="41"/>
    <x v="0"/>
    <x v="0"/>
    <s v="East"/>
    <n v="3"/>
    <n v="45.7"/>
    <x v="2"/>
    <x v="131"/>
    <n v="71.41"/>
    <n v="38.270000000000003"/>
    <x v="2"/>
    <s v="OK"/>
    <s v="OK"/>
    <x v="112"/>
    <x v="5"/>
  </r>
  <r>
    <s v="ORD0006"/>
    <d v="2025-02-19T00:00:00"/>
    <x v="20"/>
    <x v="12"/>
    <x v="2"/>
    <s v="West"/>
    <n v="4"/>
    <n v="28.99"/>
    <x v="4"/>
    <x v="132"/>
    <n v="61.72"/>
    <n v="48.44"/>
    <x v="1"/>
    <s v="OK"/>
    <s v="OK"/>
    <x v="113"/>
    <x v="9"/>
  </r>
  <r>
    <s v="ORD0281"/>
    <d v="2025-06-25T00:00:00"/>
    <x v="79"/>
    <x v="14"/>
    <x v="3"/>
    <s v="North"/>
    <n v="1"/>
    <n v="110.88"/>
    <x v="0"/>
    <x v="133"/>
    <n v="73.08"/>
    <n v="37.799999999999997"/>
    <x v="0"/>
    <s v="OK"/>
    <s v="OK"/>
    <x v="114"/>
    <x v="11"/>
  </r>
  <r>
    <s v="ORD0348"/>
    <d v="2025-03-24T00:00:00"/>
    <x v="46"/>
    <x v="4"/>
    <x v="0"/>
    <s v="South"/>
    <n v="2"/>
    <n v="61.9"/>
    <x v="3"/>
    <x v="134"/>
    <n v="91.09"/>
    <n v="20.329999999999998"/>
    <x v="2"/>
    <s v="OK"/>
    <s v="OK"/>
    <x v="115"/>
    <x v="8"/>
  </r>
  <r>
    <s v="ORD0321"/>
    <d v="2025-11-02T00:00:00"/>
    <x v="10"/>
    <x v="9"/>
    <x v="2"/>
    <s v="East"/>
    <n v="3"/>
    <n v="43.92"/>
    <x v="1"/>
    <x v="135"/>
    <n v="75.52"/>
    <n v="36.479999999999997"/>
    <x v="1"/>
    <s v="OK"/>
    <s v="OK"/>
    <x v="116"/>
    <x v="7"/>
  </r>
  <r>
    <s v="ORD0229"/>
    <d v="2025-09-20T00:00:00"/>
    <x v="14"/>
    <x v="1"/>
    <x v="1"/>
    <s v="West"/>
    <n v="3"/>
    <n v="37.35"/>
    <x v="0"/>
    <x v="136"/>
    <n v="87.94"/>
    <n v="24.11"/>
    <x v="1"/>
    <s v="OK"/>
    <s v="OK"/>
    <x v="117"/>
    <x v="10"/>
  </r>
  <r>
    <s v="ORD0243"/>
    <d v="2025-09-23T00:00:00"/>
    <x v="103"/>
    <x v="9"/>
    <x v="2"/>
    <s v="West"/>
    <n v="1"/>
    <n v="118.75"/>
    <x v="4"/>
    <x v="137"/>
    <n v="63.47"/>
    <n v="49.34"/>
    <x v="1"/>
    <s v="OK"/>
    <s v="OK"/>
    <x v="118"/>
    <x v="10"/>
  </r>
  <r>
    <s v="ORD0092"/>
    <d v="2025-12-22T00:00:00"/>
    <x v="104"/>
    <x v="2"/>
    <x v="2"/>
    <s v="East"/>
    <n v="1"/>
    <n v="113.03"/>
    <x v="0"/>
    <x v="138"/>
    <n v="81.88"/>
    <n v="31.15"/>
    <x v="1"/>
    <s v="OK"/>
    <s v="OK"/>
    <x v="119"/>
    <x v="0"/>
  </r>
  <r>
    <s v="ORD0238"/>
    <d v="2025-03-10T00:00:00"/>
    <x v="105"/>
    <x v="8"/>
    <x v="1"/>
    <s v="West"/>
    <n v="1"/>
    <n v="113.6"/>
    <x v="0"/>
    <x v="139"/>
    <n v="80.150000000000006"/>
    <n v="33.450000000000003"/>
    <x v="1"/>
    <s v="OK"/>
    <s v="OK"/>
    <x v="120"/>
    <x v="8"/>
  </r>
  <r>
    <s v="ORD0102"/>
    <d v="2025-12-31T00:00:00"/>
    <x v="28"/>
    <x v="4"/>
    <x v="0"/>
    <s v="West"/>
    <n v="2"/>
    <n v="66.84"/>
    <x v="1"/>
    <x v="140"/>
    <n v="66.27"/>
    <n v="47.36"/>
    <x v="0"/>
    <s v="OK"/>
    <s v="OK"/>
    <x v="51"/>
    <x v="0"/>
  </r>
  <r>
    <s v="ORD0472"/>
    <d v="2025-01-31T00:00:00"/>
    <x v="106"/>
    <x v="15"/>
    <x v="3"/>
    <s v="East"/>
    <n v="2"/>
    <n v="66.930000000000007"/>
    <x v="1"/>
    <x v="141"/>
    <n v="67.87"/>
    <n v="45.91"/>
    <x v="1"/>
    <s v="OK"/>
    <s v="OK"/>
    <x v="121"/>
    <x v="2"/>
  </r>
  <r>
    <s v="ORD0372"/>
    <d v="2025-04-18T00:00:00"/>
    <x v="107"/>
    <x v="6"/>
    <x v="0"/>
    <s v="North"/>
    <n v="3"/>
    <n v="38.29"/>
    <x v="0"/>
    <x v="142"/>
    <n v="63.63"/>
    <n v="51.24"/>
    <x v="0"/>
    <s v="OK"/>
    <s v="OK"/>
    <x v="122"/>
    <x v="5"/>
  </r>
  <r>
    <s v="ORD0235"/>
    <d v="2025-08-09T00:00:00"/>
    <x v="28"/>
    <x v="15"/>
    <x v="3"/>
    <s v="North"/>
    <n v="2"/>
    <n v="63.84"/>
    <x v="3"/>
    <x v="143"/>
    <n v="79.61"/>
    <n v="35.299999999999997"/>
    <x v="1"/>
    <s v="OK"/>
    <s v="OK"/>
    <x v="123"/>
    <x v="1"/>
  </r>
  <r>
    <s v="ORD0336"/>
    <d v="2025-04-23T00:00:00"/>
    <x v="83"/>
    <x v="9"/>
    <x v="2"/>
    <s v="South"/>
    <n v="1"/>
    <n v="144.46"/>
    <x v="2"/>
    <x v="144"/>
    <n v="70.52"/>
    <n v="45.05"/>
    <x v="1"/>
    <s v="OK"/>
    <s v="OK"/>
    <x v="48"/>
    <x v="5"/>
  </r>
  <r>
    <s v="ORD0002"/>
    <d v="2025-10-21T00:00:00"/>
    <x v="22"/>
    <x v="13"/>
    <x v="2"/>
    <s v="West"/>
    <n v="4"/>
    <n v="32.57"/>
    <x v="3"/>
    <x v="145"/>
    <n v="66.47"/>
    <n v="50.78"/>
    <x v="0"/>
    <s v="OK"/>
    <s v="OK"/>
    <x v="124"/>
    <x v="3"/>
  </r>
  <r>
    <s v="ORD0378"/>
    <d v="2025-04-23T00:00:00"/>
    <x v="91"/>
    <x v="0"/>
    <x v="0"/>
    <s v="East"/>
    <n v="1"/>
    <n v="117.3"/>
    <x v="0"/>
    <x v="146"/>
    <n v="65.66"/>
    <n v="51.64"/>
    <x v="1"/>
    <s v="OK"/>
    <s v="OK"/>
    <x v="48"/>
    <x v="5"/>
  </r>
  <r>
    <s v="ORD0309"/>
    <d v="2025-06-24T00:00:00"/>
    <x v="90"/>
    <x v="11"/>
    <x v="3"/>
    <s v="South"/>
    <n v="1"/>
    <n v="117.46"/>
    <x v="0"/>
    <x v="147"/>
    <n v="73.680000000000007"/>
    <n v="43.78"/>
    <x v="1"/>
    <s v="OK"/>
    <s v="OK"/>
    <x v="125"/>
    <x v="11"/>
  </r>
  <r>
    <s v="ORD0142"/>
    <d v="2025-03-14T00:00:00"/>
    <x v="35"/>
    <x v="6"/>
    <x v="0"/>
    <s v="North"/>
    <n v="2"/>
    <n v="58.96"/>
    <x v="0"/>
    <x v="148"/>
    <n v="66.349999999999994"/>
    <n v="51.57"/>
    <x v="1"/>
    <s v="OK"/>
    <s v="OK"/>
    <x v="110"/>
    <x v="8"/>
  </r>
  <r>
    <s v="ORD0338"/>
    <d v="2025-10-17T00:00:00"/>
    <x v="108"/>
    <x v="12"/>
    <x v="2"/>
    <s v="South"/>
    <n v="1"/>
    <n v="139.77000000000001"/>
    <x v="1"/>
    <x v="149"/>
    <n v="87.21"/>
    <n v="31.59"/>
    <x v="1"/>
    <s v="OK"/>
    <s v="OK"/>
    <x v="126"/>
    <x v="3"/>
  </r>
  <r>
    <s v="ORD0241"/>
    <d v="2025-02-07T00:00:00"/>
    <x v="74"/>
    <x v="3"/>
    <x v="1"/>
    <s v="West"/>
    <n v="3"/>
    <n v="39.85"/>
    <x v="0"/>
    <x v="150"/>
    <n v="69.28"/>
    <n v="50.27"/>
    <x v="1"/>
    <s v="OK"/>
    <s v="OK"/>
    <x v="87"/>
    <x v="9"/>
  </r>
  <r>
    <s v="ORD0219"/>
    <d v="2025-09-29T00:00:00"/>
    <x v="19"/>
    <x v="6"/>
    <x v="0"/>
    <s v="West"/>
    <n v="5"/>
    <n v="23.98"/>
    <x v="0"/>
    <x v="151"/>
    <n v="94.29"/>
    <n v="25.61"/>
    <x v="1"/>
    <s v="OK"/>
    <s v="OK"/>
    <x v="104"/>
    <x v="10"/>
  </r>
  <r>
    <s v="ORD0436"/>
    <d v="2025-03-27T00:00:00"/>
    <x v="14"/>
    <x v="12"/>
    <x v="2"/>
    <s v="North"/>
    <n v="1"/>
    <n v="133.79"/>
    <x v="3"/>
    <x v="152"/>
    <n v="93.41"/>
    <n v="27"/>
    <x v="2"/>
    <s v="OK"/>
    <s v="OK"/>
    <x v="66"/>
    <x v="8"/>
  </r>
  <r>
    <s v="ORD0130"/>
    <d v="2025-12-31T00:00:00"/>
    <x v="109"/>
    <x v="2"/>
    <x v="2"/>
    <s v="South"/>
    <n v="4"/>
    <n v="35.869999999999997"/>
    <x v="1"/>
    <x v="153"/>
    <n v="98.05"/>
    <n v="23.91"/>
    <x v="1"/>
    <s v="OK"/>
    <s v="OK"/>
    <x v="51"/>
    <x v="0"/>
  </r>
  <r>
    <s v="ORD0406"/>
    <d v="2025-10-07T00:00:00"/>
    <x v="80"/>
    <x v="3"/>
    <x v="1"/>
    <s v="South"/>
    <n v="3"/>
    <n v="43.32"/>
    <x v="4"/>
    <x v="154"/>
    <n v="77.849999999999994"/>
    <n v="45.61"/>
    <x v="0"/>
    <s v="OK"/>
    <s v="OK"/>
    <x v="127"/>
    <x v="3"/>
  </r>
  <r>
    <s v="ORD0266"/>
    <d v="2025-04-16T00:00:00"/>
    <x v="110"/>
    <x v="12"/>
    <x v="2"/>
    <s v="South"/>
    <n v="1"/>
    <n v="137.24"/>
    <x v="3"/>
    <x v="155"/>
    <n v="103.38"/>
    <n v="20.14"/>
    <x v="0"/>
    <s v="OK"/>
    <s v="OK"/>
    <x v="128"/>
    <x v="5"/>
  </r>
  <r>
    <s v="ORD0438"/>
    <d v="2025-08-27T00:00:00"/>
    <x v="20"/>
    <x v="6"/>
    <x v="0"/>
    <s v="West"/>
    <n v="1"/>
    <n v="146.21"/>
    <x v="1"/>
    <x v="156"/>
    <n v="75.94"/>
    <n v="48.34"/>
    <x v="0"/>
    <s v="OK"/>
    <s v="OK"/>
    <x v="129"/>
    <x v="1"/>
  </r>
  <r>
    <s v="ORD0484"/>
    <d v="2025-06-05T00:00:00"/>
    <x v="111"/>
    <x v="15"/>
    <x v="3"/>
    <s v="East"/>
    <n v="3"/>
    <n v="48.96"/>
    <x v="1"/>
    <x v="157"/>
    <n v="86.2"/>
    <n v="38.65"/>
    <x v="1"/>
    <s v="OK"/>
    <s v="OK"/>
    <x v="130"/>
    <x v="11"/>
  </r>
  <r>
    <s v="ORD0440"/>
    <d v="2025-03-03T00:00:00"/>
    <x v="82"/>
    <x v="4"/>
    <x v="0"/>
    <s v="East"/>
    <n v="2"/>
    <n v="63.24"/>
    <x v="0"/>
    <x v="158"/>
    <n v="82.86"/>
    <n v="43.62"/>
    <x v="1"/>
    <s v="OK"/>
    <s v="OK"/>
    <x v="131"/>
    <x v="8"/>
  </r>
  <r>
    <s v="ORD0058"/>
    <d v="2025-06-14T00:00:00"/>
    <x v="44"/>
    <x v="10"/>
    <x v="0"/>
    <s v="East"/>
    <n v="2"/>
    <n v="76.22"/>
    <x v="1"/>
    <x v="159"/>
    <n v="76.959999999999994"/>
    <n v="52.61"/>
    <x v="2"/>
    <s v="OK"/>
    <s v="OK"/>
    <x v="132"/>
    <x v="11"/>
  </r>
  <r>
    <s v="ORD0488"/>
    <d v="2025-08-25T00:00:00"/>
    <x v="42"/>
    <x v="14"/>
    <x v="3"/>
    <s v="West"/>
    <n v="1"/>
    <n v="144.91"/>
    <x v="3"/>
    <x v="160"/>
    <n v="80.16"/>
    <n v="50.26"/>
    <x v="0"/>
    <s v="OK"/>
    <s v="OK"/>
    <x v="133"/>
    <x v="1"/>
  </r>
  <r>
    <s v="ORD0354"/>
    <d v="2025-08-04T00:00:00"/>
    <x v="112"/>
    <x v="15"/>
    <x v="3"/>
    <s v="East"/>
    <n v="1"/>
    <n v="144.94999999999999"/>
    <x v="3"/>
    <x v="161"/>
    <n v="73.150000000000006"/>
    <n v="57.3"/>
    <x v="1"/>
    <s v="Mismatch"/>
    <s v="OK"/>
    <x v="134"/>
    <x v="1"/>
  </r>
  <r>
    <s v="ORD0178"/>
    <d v="2025-11-01T00:00:00"/>
    <x v="113"/>
    <x v="14"/>
    <x v="3"/>
    <s v="North"/>
    <n v="3"/>
    <n v="45.94"/>
    <x v="4"/>
    <x v="162"/>
    <n v="80.010000000000005"/>
    <n v="50.92"/>
    <x v="0"/>
    <s v="OK"/>
    <s v="OK"/>
    <x v="135"/>
    <x v="7"/>
  </r>
  <r>
    <s v="ORD0468"/>
    <d v="2025-04-08T00:00:00"/>
    <x v="54"/>
    <x v="13"/>
    <x v="2"/>
    <s v="East"/>
    <n v="1"/>
    <n v="154.63999999999999"/>
    <x v="1"/>
    <x v="163"/>
    <n v="75.650000000000006"/>
    <n v="55.79"/>
    <x v="1"/>
    <s v="OK"/>
    <s v="OK"/>
    <x v="90"/>
    <x v="5"/>
  </r>
  <r>
    <s v="ORD0162"/>
    <d v="2025-01-21T00:00:00"/>
    <x v="114"/>
    <x v="15"/>
    <x v="3"/>
    <s v="West"/>
    <n v="3"/>
    <n v="55"/>
    <x v="2"/>
    <x v="164"/>
    <n v="78.58"/>
    <n v="53.42"/>
    <x v="0"/>
    <s v="OK"/>
    <s v="OK"/>
    <x v="57"/>
    <x v="2"/>
  </r>
  <r>
    <s v="ORD0013"/>
    <d v="2025-07-26T00:00:00"/>
    <x v="115"/>
    <x v="14"/>
    <x v="3"/>
    <s v="South"/>
    <n v="1"/>
    <n v="132.13999999999999"/>
    <x v="0"/>
    <x v="165"/>
    <n v="82.83"/>
    <n v="49.31"/>
    <x v="1"/>
    <s v="OK"/>
    <s v="OK"/>
    <x v="136"/>
    <x v="6"/>
  </r>
  <r>
    <s v="ORD0065"/>
    <d v="2025-06-05T00:00:00"/>
    <x v="116"/>
    <x v="2"/>
    <x v="2"/>
    <s v="West"/>
    <n v="1"/>
    <n v="165.42"/>
    <x v="2"/>
    <x v="166"/>
    <n v="75.08"/>
    <n v="57.26"/>
    <x v="0"/>
    <s v="OK"/>
    <s v="OK"/>
    <x v="130"/>
    <x v="11"/>
  </r>
  <r>
    <s v="ORD0422"/>
    <d v="2025-04-12T00:00:00"/>
    <x v="19"/>
    <x v="12"/>
    <x v="2"/>
    <s v="North"/>
    <n v="1"/>
    <n v="139.47999999999999"/>
    <x v="4"/>
    <x v="167"/>
    <n v="98.93"/>
    <n v="33.58"/>
    <x v="1"/>
    <s v="OK"/>
    <s v="OK"/>
    <x v="137"/>
    <x v="5"/>
  </r>
  <r>
    <s v="ORD0115"/>
    <d v="2025-06-11T00:00:00"/>
    <x v="117"/>
    <x v="14"/>
    <x v="3"/>
    <s v="North"/>
    <n v="4"/>
    <n v="39.29"/>
    <x v="1"/>
    <x v="168"/>
    <n v="111.39"/>
    <n v="22.2"/>
    <x v="1"/>
    <s v="OK"/>
    <s v="OK"/>
    <x v="138"/>
    <x v="11"/>
  </r>
  <r>
    <s v="ORD0118"/>
    <d v="2025-06-14T00:00:00"/>
    <x v="118"/>
    <x v="9"/>
    <x v="2"/>
    <s v="East"/>
    <n v="3"/>
    <n v="49.83"/>
    <x v="3"/>
    <x v="169"/>
    <n v="108.53"/>
    <n v="26.01"/>
    <x v="1"/>
    <s v="OK"/>
    <s v="OK"/>
    <x v="132"/>
    <x v="11"/>
  </r>
  <r>
    <s v="ORD0069"/>
    <d v="2025-12-07T00:00:00"/>
    <x v="48"/>
    <x v="7"/>
    <x v="1"/>
    <s v="East"/>
    <n v="1"/>
    <n v="141.75"/>
    <x v="4"/>
    <x v="170"/>
    <n v="113.87"/>
    <n v="20.79"/>
    <x v="1"/>
    <s v="OK"/>
    <s v="OK"/>
    <x v="139"/>
    <x v="0"/>
  </r>
  <r>
    <s v="ORD0255"/>
    <d v="2025-06-03T00:00:00"/>
    <x v="119"/>
    <x v="1"/>
    <x v="1"/>
    <s v="South"/>
    <n v="2"/>
    <n v="71.349999999999994"/>
    <x v="4"/>
    <x v="171"/>
    <n v="103.92"/>
    <n v="31.64"/>
    <x v="1"/>
    <s v="OK"/>
    <s v="OK"/>
    <x v="140"/>
    <x v="11"/>
  </r>
  <r>
    <s v="ORD0430"/>
    <d v="2025-08-22T00:00:00"/>
    <x v="120"/>
    <x v="8"/>
    <x v="1"/>
    <s v="East"/>
    <n v="2"/>
    <n v="68.930000000000007"/>
    <x v="0"/>
    <x v="172"/>
    <n v="85.02"/>
    <n v="52.84"/>
    <x v="1"/>
    <s v="OK"/>
    <s v="OK"/>
    <x v="141"/>
    <x v="1"/>
  </r>
  <r>
    <s v="ORD0258"/>
    <d v="2025-06-01T00:00:00"/>
    <x v="70"/>
    <x v="5"/>
    <x v="3"/>
    <s v="West"/>
    <n v="3"/>
    <n v="54.41"/>
    <x v="1"/>
    <x v="173"/>
    <n v="97.05"/>
    <n v="41.7"/>
    <x v="1"/>
    <s v="OK"/>
    <s v="OK"/>
    <x v="142"/>
    <x v="11"/>
  </r>
  <r>
    <s v="ORD0251"/>
    <d v="2025-12-30T00:00:00"/>
    <x v="121"/>
    <x v="7"/>
    <x v="1"/>
    <s v="East"/>
    <n v="1"/>
    <n v="138.91"/>
    <x v="0"/>
    <x v="174"/>
    <n v="95.63"/>
    <n v="43.28"/>
    <x v="1"/>
    <s v="OK"/>
    <s v="OK"/>
    <x v="143"/>
    <x v="0"/>
  </r>
  <r>
    <s v="ORD0192"/>
    <d v="2025-12-07T00:00:00"/>
    <x v="24"/>
    <x v="9"/>
    <x v="2"/>
    <s v="East"/>
    <n v="5"/>
    <n v="32.69"/>
    <x v="1"/>
    <x v="175"/>
    <n v="106.96"/>
    <n v="31.97"/>
    <x v="1"/>
    <s v="OK"/>
    <s v="OK"/>
    <x v="139"/>
    <x v="0"/>
  </r>
  <r>
    <s v="ORD0435"/>
    <d v="2025-04-27T00:00:00"/>
    <x v="105"/>
    <x v="6"/>
    <x v="0"/>
    <s v="South"/>
    <n v="1"/>
    <n v="155.46"/>
    <x v="3"/>
    <x v="176"/>
    <n v="94.08"/>
    <n v="45.83"/>
    <x v="2"/>
    <s v="OK"/>
    <s v="OK"/>
    <x v="144"/>
    <x v="5"/>
  </r>
  <r>
    <s v="ORD0427"/>
    <d v="2025-11-09T00:00:00"/>
    <x v="122"/>
    <x v="8"/>
    <x v="1"/>
    <s v="South"/>
    <n v="1"/>
    <n v="155.72"/>
    <x v="3"/>
    <x v="177"/>
    <n v="112.31"/>
    <n v="27.84"/>
    <x v="1"/>
    <s v="OK"/>
    <s v="OK"/>
    <x v="27"/>
    <x v="7"/>
  </r>
  <r>
    <s v="ORD0169"/>
    <d v="2025-03-29T00:00:00"/>
    <x v="123"/>
    <x v="1"/>
    <x v="1"/>
    <s v="North"/>
    <n v="1"/>
    <n v="155.94"/>
    <x v="3"/>
    <x v="178"/>
    <n v="78.86"/>
    <n v="61.49"/>
    <x v="1"/>
    <s v="OK"/>
    <s v="OK"/>
    <x v="58"/>
    <x v="8"/>
  </r>
  <r>
    <s v="ORD0185"/>
    <d v="2025-01-10T00:00:00"/>
    <x v="88"/>
    <x v="0"/>
    <x v="0"/>
    <s v="South"/>
    <n v="1"/>
    <n v="141.04"/>
    <x v="0"/>
    <x v="179"/>
    <n v="118.61"/>
    <n v="22.43"/>
    <x v="1"/>
    <s v="OK"/>
    <s v="OK"/>
    <x v="145"/>
    <x v="2"/>
  </r>
  <r>
    <s v="ORD0165"/>
    <d v="2025-07-18T00:00:00"/>
    <x v="124"/>
    <x v="9"/>
    <x v="2"/>
    <s v="North"/>
    <n v="1"/>
    <n v="157.4"/>
    <x v="3"/>
    <x v="180"/>
    <n v="110.68"/>
    <n v="30.98"/>
    <x v="1"/>
    <s v="OK"/>
    <s v="OK"/>
    <x v="146"/>
    <x v="6"/>
  </r>
  <r>
    <s v="ORD0196"/>
    <d v="2025-11-20T00:00:00"/>
    <x v="125"/>
    <x v="0"/>
    <x v="0"/>
    <s v="North"/>
    <n v="1"/>
    <n v="157.77000000000001"/>
    <x v="3"/>
    <x v="181"/>
    <n v="102.25"/>
    <n v="39.74"/>
    <x v="1"/>
    <s v="OK"/>
    <s v="OK"/>
    <x v="41"/>
    <x v="7"/>
  </r>
  <r>
    <s v="ORD0302"/>
    <d v="2025-07-29T00:00:00"/>
    <x v="126"/>
    <x v="15"/>
    <x v="3"/>
    <s v="North"/>
    <n v="2"/>
    <n v="89.34"/>
    <x v="2"/>
    <x v="182"/>
    <n v="90.15"/>
    <n v="52.79"/>
    <x v="1"/>
    <s v="OK"/>
    <s v="OK"/>
    <x v="147"/>
    <x v="6"/>
  </r>
  <r>
    <s v="ORD0480"/>
    <d v="2025-03-17T00:00:00"/>
    <x v="46"/>
    <x v="6"/>
    <x v="0"/>
    <s v="East"/>
    <n v="1"/>
    <n v="143.13"/>
    <x v="0"/>
    <x v="183"/>
    <n v="119.04"/>
    <n v="24.09"/>
    <x v="1"/>
    <s v="OK"/>
    <s v="OK"/>
    <x v="148"/>
    <x v="8"/>
  </r>
  <r>
    <s v="ORD0379"/>
    <d v="2025-03-23T00:00:00"/>
    <x v="127"/>
    <x v="5"/>
    <x v="3"/>
    <s v="North"/>
    <n v="1"/>
    <n v="143.46"/>
    <x v="0"/>
    <x v="184"/>
    <n v="103.18"/>
    <n v="40.28"/>
    <x v="1"/>
    <s v="OK"/>
    <s v="OK"/>
    <x v="149"/>
    <x v="8"/>
  </r>
  <r>
    <s v="ORD0044"/>
    <d v="2025-10-12T00:00:00"/>
    <x v="95"/>
    <x v="4"/>
    <x v="0"/>
    <s v="East"/>
    <n v="3"/>
    <n v="50.61"/>
    <x v="4"/>
    <x v="185"/>
    <n v="112.13"/>
    <n v="32.11"/>
    <x v="1"/>
    <s v="OK"/>
    <s v="OK"/>
    <x v="85"/>
    <x v="3"/>
  </r>
  <r>
    <s v="ORD0419"/>
    <d v="2025-09-15T00:00:00"/>
    <x v="36"/>
    <x v="12"/>
    <x v="2"/>
    <s v="East"/>
    <n v="1"/>
    <n v="162"/>
    <x v="3"/>
    <x v="186"/>
    <n v="114.63"/>
    <n v="31.17"/>
    <x v="2"/>
    <s v="OK"/>
    <s v="OK"/>
    <x v="150"/>
    <x v="10"/>
  </r>
  <r>
    <s v="ORD0376"/>
    <d v="2025-06-04T00:00:00"/>
    <x v="53"/>
    <x v="9"/>
    <x v="2"/>
    <s v="North"/>
    <n v="4"/>
    <n v="38.6"/>
    <x v="4"/>
    <x v="187"/>
    <n v="116.24"/>
    <n v="30.44"/>
    <x v="2"/>
    <s v="OK"/>
    <s v="OK"/>
    <x v="151"/>
    <x v="11"/>
  </r>
  <r>
    <s v="ORD0267"/>
    <d v="2025-08-05T00:00:00"/>
    <x v="128"/>
    <x v="2"/>
    <x v="2"/>
    <s v="West"/>
    <n v="3"/>
    <n v="55.41"/>
    <x v="3"/>
    <x v="188"/>
    <n v="126.04"/>
    <n v="23.57"/>
    <x v="1"/>
    <s v="OK"/>
    <s v="OK"/>
    <x v="39"/>
    <x v="1"/>
  </r>
  <r>
    <s v="ORD0154"/>
    <d v="2025-06-07T00:00:00"/>
    <x v="69"/>
    <x v="1"/>
    <x v="1"/>
    <s v="East"/>
    <n v="2"/>
    <n v="88.06"/>
    <x v="1"/>
    <x v="189"/>
    <n v="82.57"/>
    <n v="67.13"/>
    <x v="1"/>
    <s v="OK"/>
    <s v="OK"/>
    <x v="152"/>
    <x v="11"/>
  </r>
  <r>
    <s v="ORD0332"/>
    <d v="2025-06-12T00:00:00"/>
    <x v="11"/>
    <x v="14"/>
    <x v="3"/>
    <s v="East"/>
    <n v="2"/>
    <n v="84.27"/>
    <x v="3"/>
    <x v="190"/>
    <n v="110.34"/>
    <n v="41.35"/>
    <x v="2"/>
    <s v="OK"/>
    <s v="OK"/>
    <x v="105"/>
    <x v="11"/>
  </r>
  <r>
    <s v="ORD0085"/>
    <d v="2025-05-25T00:00:00"/>
    <x v="30"/>
    <x v="9"/>
    <x v="2"/>
    <s v="West"/>
    <n v="1"/>
    <n v="152.6"/>
    <x v="0"/>
    <x v="191"/>
    <n v="108.44"/>
    <n v="44.16"/>
    <x v="1"/>
    <s v="OK"/>
    <s v="OK"/>
    <x v="28"/>
    <x v="4"/>
  </r>
  <r>
    <s v="ORD0237"/>
    <d v="2025-10-11T00:00:00"/>
    <x v="12"/>
    <x v="13"/>
    <x v="2"/>
    <s v="West"/>
    <n v="1"/>
    <n v="152.63"/>
    <x v="0"/>
    <x v="192"/>
    <n v="125.24"/>
    <n v="27.39"/>
    <x v="2"/>
    <s v="OK"/>
    <s v="OK"/>
    <x v="3"/>
    <x v="3"/>
  </r>
  <r>
    <s v="ORD0045"/>
    <d v="2025-02-08T00:00:00"/>
    <x v="129"/>
    <x v="6"/>
    <x v="0"/>
    <s v="North"/>
    <n v="4"/>
    <n v="38.159999999999997"/>
    <x v="0"/>
    <x v="193"/>
    <n v="118.91"/>
    <n v="33.729999999999997"/>
    <x v="2"/>
    <s v="OK"/>
    <s v="OK"/>
    <x v="75"/>
    <x v="9"/>
  </r>
  <r>
    <s v="ORD0110"/>
    <d v="2025-12-30T00:00:00"/>
    <x v="84"/>
    <x v="5"/>
    <x v="3"/>
    <s v="South"/>
    <n v="2"/>
    <n v="90.7"/>
    <x v="1"/>
    <x v="194"/>
    <n v="111.96"/>
    <n v="42.23"/>
    <x v="1"/>
    <s v="OK"/>
    <s v="OK"/>
    <x v="143"/>
    <x v="0"/>
  </r>
  <r>
    <s v="ORD0160"/>
    <d v="2025-10-12T00:00:00"/>
    <x v="130"/>
    <x v="7"/>
    <x v="1"/>
    <s v="North"/>
    <n v="3"/>
    <n v="51.43"/>
    <x v="0"/>
    <x v="195"/>
    <n v="92.22"/>
    <n v="62.07"/>
    <x v="1"/>
    <s v="OK"/>
    <s v="OK"/>
    <x v="85"/>
    <x v="3"/>
  </r>
  <r>
    <s v="ORD0143"/>
    <d v="2025-07-17T00:00:00"/>
    <x v="69"/>
    <x v="10"/>
    <x v="0"/>
    <s v="West"/>
    <n v="4"/>
    <n v="45.54"/>
    <x v="1"/>
    <x v="196"/>
    <n v="121.69"/>
    <n v="33.15"/>
    <x v="1"/>
    <s v="OK"/>
    <s v="OK"/>
    <x v="153"/>
    <x v="6"/>
  </r>
  <r>
    <s v="ORD0240"/>
    <d v="2025-05-19T00:00:00"/>
    <x v="28"/>
    <x v="7"/>
    <x v="1"/>
    <s v="East"/>
    <n v="1"/>
    <n v="172.52"/>
    <x v="3"/>
    <x v="197"/>
    <n v="101.85"/>
    <n v="53.42"/>
    <x v="0"/>
    <s v="OK"/>
    <s v="OK"/>
    <x v="154"/>
    <x v="4"/>
  </r>
  <r>
    <s v="ORD0168"/>
    <d v="2025-04-05T00:00:00"/>
    <x v="44"/>
    <x v="2"/>
    <x v="2"/>
    <s v="West"/>
    <n v="5"/>
    <n v="33.729999999999997"/>
    <x v="4"/>
    <x v="198"/>
    <n v="120.83"/>
    <n v="39.39"/>
    <x v="1"/>
    <s v="OK"/>
    <s v="OK"/>
    <x v="155"/>
    <x v="5"/>
  </r>
  <r>
    <s v="ORD0137"/>
    <d v="2025-04-18T00:00:00"/>
    <x v="66"/>
    <x v="15"/>
    <x v="3"/>
    <s v="South"/>
    <n v="3"/>
    <n v="62.89"/>
    <x v="1"/>
    <x v="199"/>
    <n v="89.98"/>
    <n v="70.39"/>
    <x v="1"/>
    <s v="OK"/>
    <s v="OK"/>
    <x v="122"/>
    <x v="5"/>
  </r>
  <r>
    <s v="ORD0437"/>
    <d v="2025-09-28T00:00:00"/>
    <x v="124"/>
    <x v="7"/>
    <x v="1"/>
    <s v="East"/>
    <n v="3"/>
    <n v="57.11"/>
    <x v="4"/>
    <x v="200"/>
    <n v="114.45"/>
    <n v="48.31"/>
    <x v="1"/>
    <s v="OK"/>
    <s v="OK"/>
    <x v="156"/>
    <x v="10"/>
  </r>
  <r>
    <s v="ORD0382"/>
    <d v="2025-02-09T00:00:00"/>
    <x v="131"/>
    <x v="1"/>
    <x v="1"/>
    <s v="North"/>
    <n v="3"/>
    <n v="64.13"/>
    <x v="1"/>
    <x v="201"/>
    <n v="97"/>
    <n v="66.53"/>
    <x v="1"/>
    <s v="OK"/>
    <s v="OK"/>
    <x v="157"/>
    <x v="9"/>
  </r>
  <r>
    <s v="ORD0093"/>
    <d v="2025-01-13T00:00:00"/>
    <x v="132"/>
    <x v="1"/>
    <x v="1"/>
    <s v="South"/>
    <n v="2"/>
    <n v="86.13"/>
    <x v="4"/>
    <x v="202"/>
    <n v="116.96"/>
    <n v="46.69"/>
    <x v="1"/>
    <s v="OK"/>
    <s v="OK"/>
    <x v="158"/>
    <x v="2"/>
  </r>
  <r>
    <s v="ORD0358"/>
    <d v="2025-08-16T00:00:00"/>
    <x v="75"/>
    <x v="8"/>
    <x v="1"/>
    <s v="West"/>
    <n v="1"/>
    <n v="163.84"/>
    <x v="0"/>
    <x v="203"/>
    <n v="125.74"/>
    <n v="38.1"/>
    <x v="1"/>
    <s v="OK"/>
    <s v="OK"/>
    <x v="159"/>
    <x v="1"/>
  </r>
  <r>
    <s v="ORD0254"/>
    <d v="2025-08-11T00:00:00"/>
    <x v="128"/>
    <x v="5"/>
    <x v="3"/>
    <s v="West"/>
    <n v="1"/>
    <n v="172.79"/>
    <x v="4"/>
    <x v="204"/>
    <n v="106.38"/>
    <n v="57.77"/>
    <x v="1"/>
    <s v="OK"/>
    <s v="OK"/>
    <x v="10"/>
    <x v="1"/>
  </r>
  <r>
    <s v="ORD0470"/>
    <d v="2025-04-20T00:00:00"/>
    <x v="42"/>
    <x v="6"/>
    <x v="0"/>
    <s v="North"/>
    <n v="1"/>
    <n v="174.45"/>
    <x v="4"/>
    <x v="205"/>
    <n v="104.99"/>
    <n v="60.74"/>
    <x v="1"/>
    <s v="OK"/>
    <s v="OK"/>
    <x v="160"/>
    <x v="5"/>
  </r>
  <r>
    <s v="ORD0355"/>
    <d v="2025-12-22T00:00:00"/>
    <x v="72"/>
    <x v="9"/>
    <x v="2"/>
    <s v="West"/>
    <n v="3"/>
    <n v="62.29"/>
    <x v="3"/>
    <x v="206"/>
    <n v="112.43"/>
    <n v="55.75"/>
    <x v="1"/>
    <s v="OK"/>
    <s v="OK"/>
    <x v="119"/>
    <x v="0"/>
  </r>
  <r>
    <s v="ORD0026"/>
    <d v="2025-02-06T00:00:00"/>
    <x v="105"/>
    <x v="10"/>
    <x v="0"/>
    <s v="East"/>
    <n v="4"/>
    <n v="52.86"/>
    <x v="2"/>
    <x v="207"/>
    <n v="142.02000000000001"/>
    <n v="27.13"/>
    <x v="2"/>
    <s v="OK"/>
    <s v="OK"/>
    <x v="161"/>
    <x v="9"/>
  </r>
  <r>
    <s v="ORD0135"/>
    <d v="2025-10-09T00:00:00"/>
    <x v="40"/>
    <x v="8"/>
    <x v="1"/>
    <s v="South"/>
    <n v="1"/>
    <n v="170.38"/>
    <x v="0"/>
    <x v="208"/>
    <n v="129.77000000000001"/>
    <n v="40.61"/>
    <x v="1"/>
    <s v="OK"/>
    <s v="OK"/>
    <x v="162"/>
    <x v="3"/>
  </r>
  <r>
    <s v="ORD0481"/>
    <d v="2025-09-07T00:00:00"/>
    <x v="90"/>
    <x v="1"/>
    <x v="1"/>
    <s v="East"/>
    <n v="5"/>
    <n v="38.119999999999997"/>
    <x v="3"/>
    <x v="209"/>
    <n v="105.69"/>
    <n v="65.849999999999994"/>
    <x v="2"/>
    <s v="OK"/>
    <s v="OK"/>
    <x v="163"/>
    <x v="10"/>
  </r>
  <r>
    <s v="ORD0099"/>
    <d v="2025-07-17T00:00:00"/>
    <x v="133"/>
    <x v="3"/>
    <x v="1"/>
    <s v="East"/>
    <n v="2"/>
    <n v="101.49"/>
    <x v="1"/>
    <x v="210"/>
    <n v="127.2"/>
    <n v="45.33"/>
    <x v="1"/>
    <s v="OK"/>
    <s v="OK"/>
    <x v="153"/>
    <x v="6"/>
  </r>
  <r>
    <s v="ORD0485"/>
    <d v="2025-08-09T00:00:00"/>
    <x v="113"/>
    <x v="5"/>
    <x v="3"/>
    <s v="South"/>
    <n v="2"/>
    <n v="96.22"/>
    <x v="3"/>
    <x v="211"/>
    <n v="143.85"/>
    <n v="29.35"/>
    <x v="1"/>
    <s v="OK"/>
    <s v="OK"/>
    <x v="123"/>
    <x v="1"/>
  </r>
  <r>
    <s v="ORD0148"/>
    <d v="2025-11-19T00:00:00"/>
    <x v="134"/>
    <x v="4"/>
    <x v="0"/>
    <s v="West"/>
    <n v="1"/>
    <n v="109.99"/>
    <x v="3"/>
    <x v="212"/>
    <n v="57.16"/>
    <n v="41.83"/>
    <x v="1"/>
    <s v="Mismatch"/>
    <s v="Mismatch"/>
    <x v="164"/>
    <x v="7"/>
  </r>
  <r>
    <s v="ORD0331"/>
    <d v="2025-07-22T00:00:00"/>
    <x v="84"/>
    <x v="14"/>
    <x v="3"/>
    <s v="North"/>
    <n v="2"/>
    <n v="92.52"/>
    <x v="4"/>
    <x v="213"/>
    <n v="126.36"/>
    <n v="49.43"/>
    <x v="1"/>
    <s v="OK"/>
    <s v="OK"/>
    <x v="165"/>
    <x v="6"/>
  </r>
  <r>
    <s v="ORD0036"/>
    <d v="2025-10-26T00:00:00"/>
    <x v="32"/>
    <x v="8"/>
    <x v="1"/>
    <s v="East"/>
    <n v="3"/>
    <n v="58.79"/>
    <x v="0"/>
    <x v="214"/>
    <n v="141.91"/>
    <n v="34.46"/>
    <x v="1"/>
    <s v="OK"/>
    <s v="OK"/>
    <x v="33"/>
    <x v="3"/>
  </r>
  <r>
    <s v="ORD0004"/>
    <d v="2025-11-03T00:00:00"/>
    <x v="135"/>
    <x v="12"/>
    <x v="2"/>
    <s v="North"/>
    <n v="3"/>
    <n v="73.78"/>
    <x v="2"/>
    <x v="215"/>
    <n v="122.18"/>
    <n v="54.89"/>
    <x v="2"/>
    <s v="OK"/>
    <s v="OK"/>
    <x v="83"/>
    <x v="7"/>
  </r>
  <r>
    <s v="ORD0431"/>
    <d v="2025-05-17T00:00:00"/>
    <x v="97"/>
    <x v="14"/>
    <x v="3"/>
    <s v="North"/>
    <n v="3"/>
    <n v="65.739999999999995"/>
    <x v="3"/>
    <x v="216"/>
    <n v="128.08000000000001"/>
    <n v="49.42"/>
    <x v="1"/>
    <s v="OK"/>
    <s v="OK"/>
    <x v="5"/>
    <x v="4"/>
  </r>
  <r>
    <s v="ORD0211"/>
    <d v="2025-02-11T00:00:00"/>
    <x v="88"/>
    <x v="6"/>
    <x v="0"/>
    <s v="North"/>
    <n v="1"/>
    <n v="177.9"/>
    <x v="0"/>
    <x v="217"/>
    <n v="134.94"/>
    <n v="42.96"/>
    <x v="1"/>
    <s v="OK"/>
    <s v="OK"/>
    <x v="166"/>
    <x v="9"/>
  </r>
  <r>
    <s v="ORD0001"/>
    <d v="2025-08-03T00:00:00"/>
    <x v="0"/>
    <x v="7"/>
    <x v="1"/>
    <s v="East"/>
    <n v="5"/>
    <n v="39.549999999999997"/>
    <x v="3"/>
    <x v="218"/>
    <n v="129.76"/>
    <n v="48.22"/>
    <x v="1"/>
    <s v="OK"/>
    <s v="OK"/>
    <x v="167"/>
    <x v="1"/>
  </r>
  <r>
    <s v="ORD0073"/>
    <d v="2025-09-25T00:00:00"/>
    <x v="136"/>
    <x v="7"/>
    <x v="1"/>
    <s v="West"/>
    <n v="2"/>
    <n v="93.68"/>
    <x v="4"/>
    <x v="219"/>
    <n v="142.29"/>
    <n v="35.700000000000003"/>
    <x v="1"/>
    <s v="OK"/>
    <s v="OK"/>
    <x v="84"/>
    <x v="10"/>
  </r>
  <r>
    <s v="ORD0420"/>
    <d v="2025-01-18T00:00:00"/>
    <x v="125"/>
    <x v="7"/>
    <x v="1"/>
    <s v="East"/>
    <n v="2"/>
    <n v="93.9"/>
    <x v="4"/>
    <x v="220"/>
    <n v="105.85"/>
    <n v="72.56"/>
    <x v="0"/>
    <s v="OK"/>
    <s v="OK"/>
    <x v="168"/>
    <x v="2"/>
  </r>
  <r>
    <s v="ORD0158"/>
    <d v="2025-11-02T00:00:00"/>
    <x v="92"/>
    <x v="11"/>
    <x v="3"/>
    <s v="West"/>
    <n v="2"/>
    <n v="89.45"/>
    <x v="0"/>
    <x v="221"/>
    <n v="102.4"/>
    <n v="76.5"/>
    <x v="1"/>
    <s v="OK"/>
    <s v="OK"/>
    <x v="116"/>
    <x v="7"/>
  </r>
  <r>
    <s v="ORD0222"/>
    <d v="2025-10-18T00:00:00"/>
    <x v="110"/>
    <x v="10"/>
    <x v="0"/>
    <s v="West"/>
    <n v="2"/>
    <n v="94.2"/>
    <x v="4"/>
    <x v="222"/>
    <n v="127.42"/>
    <n v="51.56"/>
    <x v="2"/>
    <s v="OK"/>
    <s v="OK"/>
    <x v="169"/>
    <x v="3"/>
  </r>
  <r>
    <s v="ORD0469"/>
    <d v="2025-09-28T00:00:00"/>
    <x v="90"/>
    <x v="9"/>
    <x v="2"/>
    <s v="East"/>
    <n v="2"/>
    <n v="89.69"/>
    <x v="0"/>
    <x v="223"/>
    <n v="149.37"/>
    <n v="30.01"/>
    <x v="0"/>
    <s v="OK"/>
    <s v="OK"/>
    <x v="156"/>
    <x v="10"/>
  </r>
  <r>
    <s v="ORD0138"/>
    <d v="2025-01-04T00:00:00"/>
    <x v="60"/>
    <x v="1"/>
    <x v="1"/>
    <s v="South"/>
    <n v="3"/>
    <n v="66.459999999999994"/>
    <x v="3"/>
    <x v="224"/>
    <n v="102.21"/>
    <n v="77.23"/>
    <x v="1"/>
    <s v="OK"/>
    <s v="OK"/>
    <x v="101"/>
    <x v="2"/>
  </r>
  <r>
    <s v="ORD0325"/>
    <d v="2025-12-07T00:00:00"/>
    <x v="108"/>
    <x v="3"/>
    <x v="1"/>
    <s v="East"/>
    <n v="3"/>
    <n v="60"/>
    <x v="0"/>
    <x v="225"/>
    <n v="109.51"/>
    <n v="70.489999999999995"/>
    <x v="1"/>
    <s v="OK"/>
    <s v="OK"/>
    <x v="139"/>
    <x v="0"/>
  </r>
  <r>
    <s v="ORD0164"/>
    <d v="2025-09-28T00:00:00"/>
    <x v="56"/>
    <x v="8"/>
    <x v="1"/>
    <s v="West"/>
    <n v="5"/>
    <n v="42.46"/>
    <x v="1"/>
    <x v="226"/>
    <n v="137.96"/>
    <n v="42.5"/>
    <x v="1"/>
    <s v="OK"/>
    <s v="OK"/>
    <x v="156"/>
    <x v="10"/>
  </r>
  <r>
    <s v="ORD0200"/>
    <d v="2025-05-13T00:00:00"/>
    <x v="11"/>
    <x v="15"/>
    <x v="3"/>
    <s v="North"/>
    <n v="2"/>
    <n v="90.42"/>
    <x v="0"/>
    <x v="227"/>
    <n v="117.98"/>
    <n v="62.86"/>
    <x v="0"/>
    <s v="OK"/>
    <s v="OK"/>
    <x v="170"/>
    <x v="4"/>
  </r>
  <r>
    <s v="ORD0019"/>
    <d v="2025-11-14T00:00:00"/>
    <x v="137"/>
    <x v="12"/>
    <x v="2"/>
    <s v="West"/>
    <n v="3"/>
    <n v="63.59"/>
    <x v="4"/>
    <x v="228"/>
    <n v="137.9"/>
    <n v="43.33"/>
    <x v="1"/>
    <s v="OK"/>
    <s v="OK"/>
    <x v="15"/>
    <x v="7"/>
  </r>
  <r>
    <s v="ORD0014"/>
    <d v="2025-04-06T00:00:00"/>
    <x v="82"/>
    <x v="15"/>
    <x v="3"/>
    <s v="South"/>
    <n v="5"/>
    <n v="42.7"/>
    <x v="1"/>
    <x v="229"/>
    <n v="125.7"/>
    <n v="55.78"/>
    <x v="2"/>
    <s v="OK"/>
    <s v="OK"/>
    <x v="171"/>
    <x v="5"/>
  </r>
  <r>
    <s v="ORD0374"/>
    <d v="2025-03-25T00:00:00"/>
    <x v="138"/>
    <x v="15"/>
    <x v="3"/>
    <s v="South"/>
    <n v="4"/>
    <n v="50.54"/>
    <x v="3"/>
    <x v="230"/>
    <n v="136.44999999999999"/>
    <n v="45.49"/>
    <x v="1"/>
    <s v="OK"/>
    <s v="OK"/>
    <x v="172"/>
    <x v="8"/>
  </r>
  <r>
    <s v="ORD0273"/>
    <d v="2025-03-07T00:00:00"/>
    <x v="80"/>
    <x v="5"/>
    <x v="3"/>
    <s v="South"/>
    <n v="2"/>
    <n v="91.37"/>
    <x v="0"/>
    <x v="231"/>
    <n v="152.35"/>
    <n v="30.39"/>
    <x v="1"/>
    <s v="OK"/>
    <s v="OK"/>
    <x v="173"/>
    <x v="8"/>
  </r>
  <r>
    <s v="ORD0147"/>
    <d v="2025-06-09T00:00:00"/>
    <x v="30"/>
    <x v="4"/>
    <x v="0"/>
    <s v="West"/>
    <n v="2"/>
    <n v="96.62"/>
    <x v="4"/>
    <x v="232"/>
    <n v="155.84"/>
    <n v="27.74"/>
    <x v="1"/>
    <s v="OK"/>
    <s v="OK"/>
    <x v="98"/>
    <x v="11"/>
  </r>
  <r>
    <s v="ORD0139"/>
    <d v="2025-11-07T00:00:00"/>
    <x v="59"/>
    <x v="0"/>
    <x v="0"/>
    <s v="South"/>
    <n v="2"/>
    <n v="97.47"/>
    <x v="4"/>
    <x v="233"/>
    <n v="150.56"/>
    <n v="34.630000000000003"/>
    <x v="1"/>
    <s v="OK"/>
    <s v="OK"/>
    <x v="174"/>
    <x v="7"/>
  </r>
  <r>
    <s v="ORD0262"/>
    <d v="2025-04-17T00:00:00"/>
    <x v="102"/>
    <x v="15"/>
    <x v="3"/>
    <s v="South"/>
    <n v="5"/>
    <n v="39.729999999999997"/>
    <x v="4"/>
    <x v="234"/>
    <n v="122.73"/>
    <n v="65.989999999999995"/>
    <x v="2"/>
    <s v="OK"/>
    <s v="OK"/>
    <x v="175"/>
    <x v="5"/>
  </r>
  <r>
    <s v="ORD0500"/>
    <d v="2025-10-21T00:00:00"/>
    <x v="35"/>
    <x v="14"/>
    <x v="3"/>
    <s v="South"/>
    <n v="2"/>
    <n v="111.85"/>
    <x v="1"/>
    <x v="235"/>
    <n v="151.49"/>
    <n v="38.65"/>
    <x v="2"/>
    <s v="Mismatch"/>
    <s v="OK"/>
    <x v="124"/>
    <x v="3"/>
  </r>
  <r>
    <s v="ORD0343"/>
    <d v="2025-01-14T00:00:00"/>
    <x v="54"/>
    <x v="1"/>
    <x v="1"/>
    <s v="West"/>
    <n v="2"/>
    <n v="108.77"/>
    <x v="3"/>
    <x v="236"/>
    <n v="111.9"/>
    <n v="83.89"/>
    <x v="1"/>
    <s v="OK"/>
    <s v="OK"/>
    <x v="19"/>
    <x v="2"/>
  </r>
  <r>
    <s v="ORD0252"/>
    <d v="2025-10-29T00:00:00"/>
    <x v="45"/>
    <x v="10"/>
    <x v="0"/>
    <s v="South"/>
    <n v="3"/>
    <n v="77.06"/>
    <x v="1"/>
    <x v="237"/>
    <n v="120.1"/>
    <n v="76.400000000000006"/>
    <x v="1"/>
    <s v="OK"/>
    <s v="OK"/>
    <x v="176"/>
    <x v="3"/>
  </r>
  <r>
    <s v="ORD0124"/>
    <d v="2025-11-22T00:00:00"/>
    <x v="58"/>
    <x v="15"/>
    <x v="3"/>
    <s v="West"/>
    <n v="2"/>
    <n v="98.42"/>
    <x v="0"/>
    <x v="238"/>
    <n v="124.34"/>
    <n v="72.5"/>
    <x v="1"/>
    <s v="OK"/>
    <s v="OK"/>
    <x v="177"/>
    <x v="7"/>
  </r>
  <r>
    <s v="ORD0244"/>
    <d v="2025-08-14T00:00:00"/>
    <x v="139"/>
    <x v="2"/>
    <x v="2"/>
    <s v="South"/>
    <n v="2"/>
    <n v="111.52"/>
    <x v="3"/>
    <x v="239"/>
    <n v="155.46"/>
    <n v="45.28"/>
    <x v="0"/>
    <s v="OK"/>
    <s v="OK"/>
    <x v="178"/>
    <x v="1"/>
  </r>
  <r>
    <s v="ORD0291"/>
    <d v="2025-04-01T00:00:00"/>
    <x v="125"/>
    <x v="13"/>
    <x v="2"/>
    <s v="West"/>
    <n v="2"/>
    <n v="119.93"/>
    <x v="1"/>
    <x v="240"/>
    <n v="112.15"/>
    <n v="91.73"/>
    <x v="1"/>
    <s v="OK"/>
    <s v="OK"/>
    <x v="179"/>
    <x v="5"/>
  </r>
  <r>
    <s v="ORD0024"/>
    <d v="2025-12-26T00:00:00"/>
    <x v="24"/>
    <x v="14"/>
    <x v="3"/>
    <s v="East"/>
    <n v="3"/>
    <n v="67.97"/>
    <x v="0"/>
    <x v="241"/>
    <n v="169.69"/>
    <n v="34.22"/>
    <x v="1"/>
    <s v="OK"/>
    <s v="OK"/>
    <x v="86"/>
    <x v="0"/>
  </r>
  <r>
    <s v="ORD0339"/>
    <d v="2025-10-17T00:00:00"/>
    <x v="66"/>
    <x v="12"/>
    <x v="2"/>
    <s v="North"/>
    <n v="3"/>
    <n v="68"/>
    <x v="0"/>
    <x v="242"/>
    <n v="161.66"/>
    <n v="42.34"/>
    <x v="2"/>
    <s v="OK"/>
    <s v="OK"/>
    <x v="126"/>
    <x v="3"/>
  </r>
  <r>
    <s v="ORD0402"/>
    <d v="2025-02-16T00:00:00"/>
    <x v="99"/>
    <x v="11"/>
    <x v="3"/>
    <s v="West"/>
    <n v="3"/>
    <n v="69.209999999999994"/>
    <x v="0"/>
    <x v="243"/>
    <n v="134.97"/>
    <n v="72.66"/>
    <x v="2"/>
    <s v="OK"/>
    <s v="OK"/>
    <x v="180"/>
    <x v="9"/>
  </r>
  <r>
    <s v="ORD0360"/>
    <d v="2025-06-02T00:00:00"/>
    <x v="140"/>
    <x v="6"/>
    <x v="0"/>
    <s v="East"/>
    <n v="3"/>
    <n v="73.8"/>
    <x v="4"/>
    <x v="244"/>
    <n v="127.15"/>
    <n v="83.18"/>
    <x v="2"/>
    <s v="OK"/>
    <s v="OK"/>
    <x v="181"/>
    <x v="11"/>
  </r>
  <r>
    <s v="ORD0007"/>
    <d v="2025-06-11T00:00:00"/>
    <x v="92"/>
    <x v="5"/>
    <x v="3"/>
    <s v="East"/>
    <n v="2"/>
    <n v="105.64"/>
    <x v="0"/>
    <x v="245"/>
    <n v="169.59"/>
    <n v="41.69"/>
    <x v="0"/>
    <s v="OK"/>
    <s v="OK"/>
    <x v="138"/>
    <x v="11"/>
  </r>
  <r>
    <s v="ORD0221"/>
    <d v="2025-05-23T00:00:00"/>
    <x v="40"/>
    <x v="9"/>
    <x v="2"/>
    <s v="West"/>
    <n v="2"/>
    <n v="111.3"/>
    <x v="4"/>
    <x v="246"/>
    <n v="174.64"/>
    <n v="36.83"/>
    <x v="1"/>
    <s v="OK"/>
    <s v="OK"/>
    <x v="182"/>
    <x v="4"/>
  </r>
  <r>
    <s v="ORD0367"/>
    <d v="2025-09-05T00:00:00"/>
    <x v="136"/>
    <x v="6"/>
    <x v="0"/>
    <s v="North"/>
    <n v="2"/>
    <n v="126.7"/>
    <x v="1"/>
    <x v="247"/>
    <n v="150.6"/>
    <n v="64.790000000000006"/>
    <x v="1"/>
    <s v="OK"/>
    <s v="OK"/>
    <x v="183"/>
    <x v="10"/>
  </r>
  <r>
    <s v="ORD0316"/>
    <d v="2025-06-05T00:00:00"/>
    <x v="77"/>
    <x v="0"/>
    <x v="0"/>
    <s v="East"/>
    <n v="2"/>
    <n v="109.53"/>
    <x v="0"/>
    <x v="248"/>
    <n v="145.72999999999999"/>
    <n v="73.33"/>
    <x v="1"/>
    <s v="OK"/>
    <s v="OK"/>
    <x v="130"/>
    <x v="11"/>
  </r>
  <r>
    <s v="ORD0087"/>
    <d v="2025-11-11T00:00:00"/>
    <x v="70"/>
    <x v="10"/>
    <x v="0"/>
    <s v="South"/>
    <n v="3"/>
    <n v="73.150000000000006"/>
    <x v="0"/>
    <x v="249"/>
    <n v="179.93"/>
    <n v="39.520000000000003"/>
    <x v="1"/>
    <s v="OK"/>
    <s v="OK"/>
    <x v="184"/>
    <x v="7"/>
  </r>
  <r>
    <s v="ORD0475"/>
    <d v="2025-12-03T00:00:00"/>
    <x v="63"/>
    <x v="0"/>
    <x v="0"/>
    <s v="North"/>
    <n v="2"/>
    <n v="122.76"/>
    <x v="3"/>
    <x v="250"/>
    <n v="178.69"/>
    <n v="42.28"/>
    <x v="2"/>
    <s v="OK"/>
    <s v="OK"/>
    <x v="185"/>
    <x v="0"/>
  </r>
  <r>
    <s v="ORD0156"/>
    <d v="2025-03-15T00:00:00"/>
    <x v="51"/>
    <x v="0"/>
    <x v="0"/>
    <s v="West"/>
    <n v="2"/>
    <n v="117.05"/>
    <x v="4"/>
    <x v="251"/>
    <n v="174.35"/>
    <n v="48.05"/>
    <x v="1"/>
    <s v="OK"/>
    <s v="OK"/>
    <x v="186"/>
    <x v="8"/>
  </r>
  <r>
    <s v="ORD0272"/>
    <d v="2025-01-17T00:00:00"/>
    <x v="125"/>
    <x v="0"/>
    <x v="0"/>
    <s v="South"/>
    <n v="5"/>
    <n v="47.11"/>
    <x v="4"/>
    <x v="252"/>
    <n v="159.5"/>
    <n v="64.27"/>
    <x v="1"/>
    <s v="OK"/>
    <s v="OK"/>
    <x v="187"/>
    <x v="2"/>
  </r>
  <r>
    <s v="ORD0490"/>
    <d v="2025-04-12T00:00:00"/>
    <x v="141"/>
    <x v="0"/>
    <x v="0"/>
    <s v="North"/>
    <n v="2"/>
    <n v="124.51"/>
    <x v="3"/>
    <x v="253"/>
    <n v="185.74"/>
    <n v="38.380000000000003"/>
    <x v="1"/>
    <s v="OK"/>
    <s v="OK"/>
    <x v="137"/>
    <x v="5"/>
  </r>
  <r>
    <s v="ORD0076"/>
    <d v="2025-05-18T00:00:00"/>
    <x v="126"/>
    <x v="2"/>
    <x v="2"/>
    <s v="South"/>
    <n v="4"/>
    <n v="59.25"/>
    <x v="4"/>
    <x v="254"/>
    <n v="170.95"/>
    <n v="54.2"/>
    <x v="2"/>
    <s v="OK"/>
    <s v="OK"/>
    <x v="109"/>
    <x v="4"/>
  </r>
  <r>
    <s v="ORD0029"/>
    <d v="2025-03-09T00:00:00"/>
    <x v="140"/>
    <x v="5"/>
    <x v="3"/>
    <s v="South"/>
    <n v="2"/>
    <n v="127.01"/>
    <x v="3"/>
    <x v="255"/>
    <n v="141.12"/>
    <n v="87.5"/>
    <x v="1"/>
    <s v="OK"/>
    <s v="OK"/>
    <x v="23"/>
    <x v="8"/>
  </r>
  <r>
    <s v="ORD0393"/>
    <d v="2025-06-16T00:00:00"/>
    <x v="38"/>
    <x v="4"/>
    <x v="0"/>
    <s v="North"/>
    <n v="2"/>
    <n v="127.92"/>
    <x v="3"/>
    <x v="256"/>
    <n v="158.54"/>
    <n v="71.72"/>
    <x v="1"/>
    <s v="OK"/>
    <s v="OK"/>
    <x v="188"/>
    <x v="11"/>
  </r>
  <r>
    <s v="ORD0424"/>
    <d v="2025-01-23T00:00:00"/>
    <x v="93"/>
    <x v="3"/>
    <x v="1"/>
    <s v="North"/>
    <n v="4"/>
    <n v="57.74"/>
    <x v="0"/>
    <x v="257"/>
    <n v="144.35"/>
    <n v="86.61"/>
    <x v="1"/>
    <s v="OK"/>
    <s v="OK"/>
    <x v="189"/>
    <x v="2"/>
  </r>
  <r>
    <s v="ORD0079"/>
    <d v="2025-10-04T00:00:00"/>
    <x v="121"/>
    <x v="4"/>
    <x v="0"/>
    <s v="South"/>
    <n v="3"/>
    <n v="96.62"/>
    <x v="2"/>
    <x v="258"/>
    <n v="169.41"/>
    <n v="62.48"/>
    <x v="1"/>
    <s v="OK"/>
    <s v="OK"/>
    <x v="190"/>
    <x v="3"/>
  </r>
  <r>
    <s v="ORD0493"/>
    <d v="2025-11-04T00:00:00"/>
    <x v="36"/>
    <x v="7"/>
    <x v="1"/>
    <s v="West"/>
    <n v="4"/>
    <n v="68.27"/>
    <x v="1"/>
    <x v="259"/>
    <n v="151.33000000000001"/>
    <n v="80.790000000000006"/>
    <x v="2"/>
    <s v="OK"/>
    <s v="OK"/>
    <x v="44"/>
    <x v="7"/>
  </r>
  <r>
    <s v="ORD0074"/>
    <d v="2025-12-07T00:00:00"/>
    <x v="118"/>
    <x v="6"/>
    <x v="0"/>
    <s v="South"/>
    <n v="3"/>
    <n v="77.400000000000006"/>
    <x v="0"/>
    <x v="260"/>
    <n v="129.72"/>
    <n v="102.48"/>
    <x v="2"/>
    <s v="OK"/>
    <s v="OK"/>
    <x v="139"/>
    <x v="0"/>
  </r>
  <r>
    <s v="ORD0010"/>
    <d v="2025-10-16T00:00:00"/>
    <x v="134"/>
    <x v="13"/>
    <x v="2"/>
    <s v="North"/>
    <n v="4"/>
    <n v="58.48"/>
    <x v="0"/>
    <x v="261"/>
    <n v="142.61000000000001"/>
    <n v="91.31"/>
    <x v="1"/>
    <s v="OK"/>
    <s v="OK"/>
    <x v="191"/>
    <x v="3"/>
  </r>
  <r>
    <s v="ORD0319"/>
    <d v="2025-06-25T00:00:00"/>
    <x v="142"/>
    <x v="3"/>
    <x v="1"/>
    <s v="West"/>
    <n v="3"/>
    <n v="78.459999999999994"/>
    <x v="0"/>
    <x v="262"/>
    <n v="177.27"/>
    <n v="58.11"/>
    <x v="2"/>
    <s v="OK"/>
    <s v="OK"/>
    <x v="114"/>
    <x v="11"/>
  </r>
  <r>
    <s v="ORD0363"/>
    <d v="2025-08-06T00:00:00"/>
    <x v="130"/>
    <x v="2"/>
    <x v="2"/>
    <s v="South"/>
    <n v="5"/>
    <n v="47.26"/>
    <x v="0"/>
    <x v="263"/>
    <n v="164.28"/>
    <n v="72.02"/>
    <x v="0"/>
    <s v="OK"/>
    <s v="OK"/>
    <x v="1"/>
    <x v="1"/>
  </r>
  <r>
    <s v="ORD0220"/>
    <d v="2025-09-15T00:00:00"/>
    <x v="0"/>
    <x v="11"/>
    <x v="3"/>
    <s v="East"/>
    <n v="4"/>
    <n v="60.14"/>
    <x v="0"/>
    <x v="264"/>
    <n v="158.30000000000001"/>
    <n v="82.26"/>
    <x v="2"/>
    <s v="OK"/>
    <s v="OK"/>
    <x v="150"/>
    <x v="10"/>
  </r>
  <r>
    <s v="ORD0304"/>
    <d v="2025-02-18T00:00:00"/>
    <x v="67"/>
    <x v="7"/>
    <x v="1"/>
    <s v="North"/>
    <n v="3"/>
    <n v="84.96"/>
    <x v="4"/>
    <x v="265"/>
    <n v="176.1"/>
    <n v="66.040000000000006"/>
    <x v="2"/>
    <s v="OK"/>
    <s v="OK"/>
    <x v="53"/>
    <x v="9"/>
  </r>
  <r>
    <s v="ORD0373"/>
    <d v="2025-09-04T00:00:00"/>
    <x v="112"/>
    <x v="1"/>
    <x v="1"/>
    <s v="North"/>
    <n v="2"/>
    <n v="128.11000000000001"/>
    <x v="4"/>
    <x v="266"/>
    <n v="203.46"/>
    <n v="39.950000000000003"/>
    <x v="1"/>
    <s v="OK"/>
    <s v="OK"/>
    <x v="192"/>
    <x v="10"/>
  </r>
  <r>
    <s v="ORD0322"/>
    <d v="2025-05-04T00:00:00"/>
    <x v="23"/>
    <x v="4"/>
    <x v="0"/>
    <s v="East"/>
    <n v="5"/>
    <n v="57.75"/>
    <x v="1"/>
    <x v="267"/>
    <n v="143.54"/>
    <n v="101.9"/>
    <x v="1"/>
    <s v="OK"/>
    <s v="OK"/>
    <x v="193"/>
    <x v="4"/>
  </r>
  <r>
    <s v="ORD0287"/>
    <d v="2025-11-21T00:00:00"/>
    <x v="143"/>
    <x v="4"/>
    <x v="0"/>
    <s v="East"/>
    <n v="2"/>
    <n v="136.80000000000001"/>
    <x v="3"/>
    <x v="268"/>
    <n v="181.3"/>
    <n v="64.94"/>
    <x v="1"/>
    <s v="OK"/>
    <s v="OK"/>
    <x v="194"/>
    <x v="7"/>
  </r>
  <r>
    <s v="ORD0174"/>
    <d v="2025-01-22T00:00:00"/>
    <x v="109"/>
    <x v="14"/>
    <x v="3"/>
    <s v="East"/>
    <n v="3"/>
    <n v="91.32"/>
    <x v="3"/>
    <x v="269"/>
    <n v="176.51"/>
    <n v="70.05"/>
    <x v="1"/>
    <s v="OK"/>
    <s v="OK"/>
    <x v="76"/>
    <x v="2"/>
  </r>
  <r>
    <s v="ORD0314"/>
    <d v="2025-03-03T00:00:00"/>
    <x v="29"/>
    <x v="2"/>
    <x v="2"/>
    <s v="East"/>
    <n v="3"/>
    <n v="91.59"/>
    <x v="3"/>
    <x v="270"/>
    <n v="139.25"/>
    <n v="108.04"/>
    <x v="2"/>
    <s v="OK"/>
    <s v="OK"/>
    <x v="131"/>
    <x v="8"/>
  </r>
  <r>
    <s v="ORD0489"/>
    <d v="2025-04-13T00:00:00"/>
    <x v="31"/>
    <x v="8"/>
    <x v="1"/>
    <s v="East"/>
    <n v="4"/>
    <n v="73.319999999999993"/>
    <x v="1"/>
    <x v="271"/>
    <n v="166.43"/>
    <n v="82.86"/>
    <x v="1"/>
    <s v="OK"/>
    <s v="OK"/>
    <x v="195"/>
    <x v="5"/>
  </r>
  <r>
    <s v="ORD0215"/>
    <d v="2025-08-03T00:00:00"/>
    <x v="77"/>
    <x v="13"/>
    <x v="2"/>
    <s v="South"/>
    <n v="2"/>
    <n v="124.98"/>
    <x v="0"/>
    <x v="272"/>
    <n v="171.74"/>
    <n v="78.22"/>
    <x v="1"/>
    <s v="OK"/>
    <s v="OK"/>
    <x v="167"/>
    <x v="1"/>
  </r>
  <r>
    <s v="ORD0037"/>
    <d v="2025-11-09T00:00:00"/>
    <x v="49"/>
    <x v="6"/>
    <x v="0"/>
    <s v="North"/>
    <n v="2"/>
    <n v="147.34"/>
    <x v="1"/>
    <x v="273"/>
    <n v="206.39"/>
    <n v="44.09"/>
    <x v="1"/>
    <s v="OK"/>
    <s v="OK"/>
    <x v="27"/>
    <x v="7"/>
  </r>
  <r>
    <s v="ORD0081"/>
    <d v="2025-08-02T00:00:00"/>
    <x v="144"/>
    <x v="6"/>
    <x v="0"/>
    <s v="South"/>
    <n v="2"/>
    <n v="126.75"/>
    <x v="0"/>
    <x v="274"/>
    <n v="200.22"/>
    <n v="53.28"/>
    <x v="1"/>
    <s v="OK"/>
    <s v="OK"/>
    <x v="36"/>
    <x v="1"/>
  </r>
  <r>
    <s v="ORD0283"/>
    <d v="2025-09-04T00:00:00"/>
    <x v="3"/>
    <x v="0"/>
    <x v="0"/>
    <s v="East"/>
    <n v="5"/>
    <n v="63.56"/>
    <x v="2"/>
    <x v="275"/>
    <n v="214.56"/>
    <n v="39.68"/>
    <x v="1"/>
    <s v="OK"/>
    <s v="OK"/>
    <x v="192"/>
    <x v="10"/>
  </r>
  <r>
    <s v="ORD0380"/>
    <d v="2025-07-22T00:00:00"/>
    <x v="123"/>
    <x v="11"/>
    <x v="3"/>
    <s v="North"/>
    <n v="2"/>
    <n v="158.91"/>
    <x v="2"/>
    <x v="276"/>
    <n v="141.94"/>
    <n v="112.32"/>
    <x v="1"/>
    <s v="OK"/>
    <s v="OK"/>
    <x v="165"/>
    <x v="6"/>
  </r>
  <r>
    <s v="ORD0269"/>
    <d v="2025-06-03T00:00:00"/>
    <x v="96"/>
    <x v="3"/>
    <x v="1"/>
    <s v="West"/>
    <n v="2"/>
    <n v="133.97999999999999"/>
    <x v="4"/>
    <x v="277"/>
    <n v="149.78"/>
    <n v="104.78"/>
    <x v="2"/>
    <s v="OK"/>
    <s v="OK"/>
    <x v="140"/>
    <x v="11"/>
  </r>
  <r>
    <s v="ORD0030"/>
    <d v="2025-06-25T00:00:00"/>
    <x v="107"/>
    <x v="10"/>
    <x v="0"/>
    <s v="South"/>
    <n v="4"/>
    <n v="71.03"/>
    <x v="3"/>
    <x v="278"/>
    <n v="195.95"/>
    <n v="59.76"/>
    <x v="1"/>
    <s v="OK"/>
    <s v="OK"/>
    <x v="114"/>
    <x v="11"/>
  </r>
  <r>
    <s v="ORD0346"/>
    <d v="2025-12-09T00:00:00"/>
    <x v="138"/>
    <x v="1"/>
    <x v="1"/>
    <s v="South"/>
    <n v="2"/>
    <n v="142.68"/>
    <x v="3"/>
    <x v="279"/>
    <n v="186.98"/>
    <n v="69.84"/>
    <x v="1"/>
    <s v="OK"/>
    <s v="OK"/>
    <x v="196"/>
    <x v="0"/>
  </r>
  <r>
    <s v="ORD0298"/>
    <d v="2025-07-20T00:00:00"/>
    <x v="71"/>
    <x v="1"/>
    <x v="1"/>
    <s v="West"/>
    <n v="5"/>
    <n v="51.4"/>
    <x v="0"/>
    <x v="280"/>
    <n v="179"/>
    <n v="78"/>
    <x v="2"/>
    <s v="OK"/>
    <s v="OK"/>
    <x v="197"/>
    <x v="6"/>
  </r>
  <r>
    <s v="ORD0456"/>
    <d v="2025-12-21T00:00:00"/>
    <x v="43"/>
    <x v="14"/>
    <x v="3"/>
    <s v="West"/>
    <n v="2"/>
    <n v="129.46"/>
    <x v="0"/>
    <x v="281"/>
    <n v="152.71"/>
    <n v="106.21"/>
    <x v="1"/>
    <s v="OK"/>
    <s v="OK"/>
    <x v="198"/>
    <x v="0"/>
  </r>
  <r>
    <s v="ORD0123"/>
    <d v="2025-12-25T00:00:00"/>
    <x v="89"/>
    <x v="6"/>
    <x v="0"/>
    <s v="East"/>
    <n v="3"/>
    <n v="96.14"/>
    <x v="3"/>
    <x v="282"/>
    <n v="197.19"/>
    <n v="62.39"/>
    <x v="1"/>
    <s v="OK"/>
    <s v="OK"/>
    <x v="199"/>
    <x v="0"/>
  </r>
  <r>
    <s v="ORD0452"/>
    <d v="2025-08-18T00:00:00"/>
    <x v="58"/>
    <x v="9"/>
    <x v="2"/>
    <s v="South"/>
    <n v="3"/>
    <n v="96.44"/>
    <x v="3"/>
    <x v="283"/>
    <n v="177.31"/>
    <n v="83.08"/>
    <x v="2"/>
    <s v="OK"/>
    <s v="OK"/>
    <x v="200"/>
    <x v="1"/>
  </r>
  <r>
    <s v="ORD0020"/>
    <d v="2025-04-23T00:00:00"/>
    <x v="145"/>
    <x v="14"/>
    <x v="3"/>
    <s v="South"/>
    <n v="2"/>
    <n v="130.51"/>
    <x v="0"/>
    <x v="284"/>
    <n v="221.69"/>
    <n v="39.33"/>
    <x v="1"/>
    <s v="OK"/>
    <s v="OK"/>
    <x v="48"/>
    <x v="5"/>
  </r>
  <r>
    <s v="ORD0083"/>
    <d v="2025-01-14T00:00:00"/>
    <x v="144"/>
    <x v="3"/>
    <x v="1"/>
    <s v="East"/>
    <n v="2"/>
    <n v="138.71"/>
    <x v="4"/>
    <x v="285"/>
    <n v="201.92"/>
    <n v="61.63"/>
    <x v="1"/>
    <s v="OK"/>
    <s v="OK"/>
    <x v="19"/>
    <x v="2"/>
  </r>
  <r>
    <s v="ORD0187"/>
    <d v="2025-06-14T00:00:00"/>
    <x v="29"/>
    <x v="0"/>
    <x v="0"/>
    <s v="North"/>
    <n v="4"/>
    <n v="73.25"/>
    <x v="3"/>
    <x v="286"/>
    <n v="173.26"/>
    <n v="90.44"/>
    <x v="0"/>
    <s v="OK"/>
    <s v="OK"/>
    <x v="132"/>
    <x v="11"/>
  </r>
  <r>
    <s v="ORD0284"/>
    <d v="2025-08-15T00:00:00"/>
    <x v="86"/>
    <x v="0"/>
    <x v="0"/>
    <s v="West"/>
    <n v="3"/>
    <n v="98.71"/>
    <x v="3"/>
    <x v="287"/>
    <n v="217.77"/>
    <n v="48.75"/>
    <x v="2"/>
    <s v="OK"/>
    <s v="OK"/>
    <x v="13"/>
    <x v="1"/>
  </r>
  <r>
    <s v="ORD0126"/>
    <d v="2025-09-25T00:00:00"/>
    <x v="41"/>
    <x v="5"/>
    <x v="3"/>
    <s v="East"/>
    <n v="5"/>
    <n v="53.35"/>
    <x v="0"/>
    <x v="288"/>
    <n v="205.31"/>
    <n v="61.44"/>
    <x v="1"/>
    <s v="OK"/>
    <s v="OK"/>
    <x v="84"/>
    <x v="10"/>
  </r>
  <r>
    <s v="ORD0386"/>
    <d v="2025-11-14T00:00:00"/>
    <x v="15"/>
    <x v="4"/>
    <x v="0"/>
    <s v="North"/>
    <n v="5"/>
    <n v="56.59"/>
    <x v="4"/>
    <x v="289"/>
    <n v="150.87"/>
    <n v="117.93"/>
    <x v="2"/>
    <s v="OK"/>
    <s v="OK"/>
    <x v="15"/>
    <x v="7"/>
  </r>
  <r>
    <s v="ORD0425"/>
    <d v="2025-02-05T00:00:00"/>
    <x v="4"/>
    <x v="4"/>
    <x v="0"/>
    <s v="South"/>
    <n v="2"/>
    <n v="150.51"/>
    <x v="3"/>
    <x v="290"/>
    <n v="174.02"/>
    <n v="96.9"/>
    <x v="2"/>
    <s v="OK"/>
    <s v="OK"/>
    <x v="201"/>
    <x v="9"/>
  </r>
  <r>
    <s v="ORD0404"/>
    <d v="2025-03-03T00:00:00"/>
    <x v="146"/>
    <x v="12"/>
    <x v="2"/>
    <s v="South"/>
    <n v="5"/>
    <n v="63.94"/>
    <x v="1"/>
    <x v="291"/>
    <n v="224.03"/>
    <n v="47.71"/>
    <x v="1"/>
    <s v="OK"/>
    <s v="OK"/>
    <x v="131"/>
    <x v="8"/>
  </r>
  <r>
    <s v="ORD0111"/>
    <d v="2025-05-30T00:00:00"/>
    <x v="109"/>
    <x v="13"/>
    <x v="2"/>
    <s v="West"/>
    <n v="4"/>
    <n v="80.06"/>
    <x v="1"/>
    <x v="292"/>
    <n v="179.3"/>
    <n v="92.9"/>
    <x v="1"/>
    <s v="OK"/>
    <s v="OK"/>
    <x v="202"/>
    <x v="4"/>
  </r>
  <r>
    <s v="ORD0271"/>
    <d v="2025-11-23T00:00:00"/>
    <x v="40"/>
    <x v="0"/>
    <x v="0"/>
    <s v="East"/>
    <n v="4"/>
    <n v="68.12"/>
    <x v="0"/>
    <x v="293"/>
    <n v="162.22999999999999"/>
    <n v="110.25"/>
    <x v="0"/>
    <s v="OK"/>
    <s v="OK"/>
    <x v="203"/>
    <x v="7"/>
  </r>
  <r>
    <s v="ORD0398"/>
    <d v="2025-05-27T00:00:00"/>
    <x v="14"/>
    <x v="0"/>
    <x v="0"/>
    <s v="East"/>
    <n v="3"/>
    <n v="90.95"/>
    <x v="0"/>
    <x v="294"/>
    <n v="228.77"/>
    <n v="44.08"/>
    <x v="1"/>
    <s v="OK"/>
    <s v="OK"/>
    <x v="204"/>
    <x v="4"/>
  </r>
  <r>
    <s v="ORD0086"/>
    <d v="2025-04-21T00:00:00"/>
    <x v="112"/>
    <x v="10"/>
    <x v="0"/>
    <s v="West"/>
    <n v="2"/>
    <n v="143.74"/>
    <x v="4"/>
    <x v="295"/>
    <n v="157.33000000000001"/>
    <n v="115.78"/>
    <x v="1"/>
    <s v="OK"/>
    <s v="OK"/>
    <x v="100"/>
    <x v="5"/>
  </r>
  <r>
    <s v="ORD0005"/>
    <d v="2025-12-12T00:00:00"/>
    <x v="41"/>
    <x v="4"/>
    <x v="0"/>
    <s v="South"/>
    <n v="2"/>
    <n v="171.21"/>
    <x v="2"/>
    <x v="296"/>
    <n v="217.1"/>
    <n v="56.84"/>
    <x v="1"/>
    <s v="OK"/>
    <s v="OK"/>
    <x v="71"/>
    <x v="0"/>
  </r>
  <r>
    <s v="ORD0499"/>
    <d v="2025-09-03T00:00:00"/>
    <x v="147"/>
    <x v="14"/>
    <x v="3"/>
    <s v="South"/>
    <n v="2"/>
    <n v="162.04"/>
    <x v="1"/>
    <x v="297"/>
    <n v="177.45"/>
    <n v="98.02"/>
    <x v="1"/>
    <s v="OK"/>
    <s v="OK"/>
    <x v="205"/>
    <x v="10"/>
  </r>
  <r>
    <s v="ORD0365"/>
    <d v="2025-09-24T00:00:00"/>
    <x v="20"/>
    <x v="15"/>
    <x v="3"/>
    <s v="West"/>
    <n v="2"/>
    <n v="162.12"/>
    <x v="1"/>
    <x v="298"/>
    <n v="177.64"/>
    <n v="97.96"/>
    <x v="1"/>
    <s v="OK"/>
    <s v="OK"/>
    <x v="206"/>
    <x v="10"/>
  </r>
  <r>
    <s v="ORD0443"/>
    <d v="2025-01-29T00:00:00"/>
    <x v="61"/>
    <x v="13"/>
    <x v="2"/>
    <s v="East"/>
    <n v="2"/>
    <n v="138.46"/>
    <x v="0"/>
    <x v="299"/>
    <n v="169.52"/>
    <n v="107.4"/>
    <x v="0"/>
    <s v="OK"/>
    <s v="OK"/>
    <x v="207"/>
    <x v="2"/>
  </r>
  <r>
    <s v="ORD0077"/>
    <d v="2025-05-06T00:00:00"/>
    <x v="101"/>
    <x v="10"/>
    <x v="0"/>
    <s v="West"/>
    <n v="4"/>
    <n v="86.97"/>
    <x v="2"/>
    <x v="300"/>
    <n v="194.19"/>
    <n v="84.11"/>
    <x v="2"/>
    <s v="OK"/>
    <s v="OK"/>
    <x v="43"/>
    <x v="4"/>
  </r>
  <r>
    <s v="ORD0417"/>
    <d v="2025-12-24T00:00:00"/>
    <x v="148"/>
    <x v="5"/>
    <x v="3"/>
    <s v="East"/>
    <n v="3"/>
    <n v="92.88"/>
    <x v="0"/>
    <x v="301"/>
    <n v="219.02"/>
    <n v="59.62"/>
    <x v="1"/>
    <s v="OK"/>
    <s v="OK"/>
    <x v="208"/>
    <x v="0"/>
  </r>
  <r>
    <s v="ORD0122"/>
    <d v="2025-08-03T00:00:00"/>
    <x v="3"/>
    <x v="7"/>
    <x v="1"/>
    <s v="West"/>
    <n v="2"/>
    <n v="139.34"/>
    <x v="0"/>
    <x v="302"/>
    <n v="225.88"/>
    <n v="52.8"/>
    <x v="1"/>
    <s v="OK"/>
    <s v="OK"/>
    <x v="167"/>
    <x v="1"/>
  </r>
  <r>
    <s v="ORD0186"/>
    <d v="2025-09-21T00:00:00"/>
    <x v="31"/>
    <x v="9"/>
    <x v="2"/>
    <s v="West"/>
    <n v="5"/>
    <n v="65.959999999999994"/>
    <x v="1"/>
    <x v="303"/>
    <n v="190.42"/>
    <n v="89.91"/>
    <x v="0"/>
    <s v="OK"/>
    <s v="OK"/>
    <x v="209"/>
    <x v="10"/>
  </r>
  <r>
    <s v="ORD0310"/>
    <d v="2025-08-27T00:00:00"/>
    <x v="37"/>
    <x v="5"/>
    <x v="3"/>
    <s v="West"/>
    <n v="4"/>
    <n v="74.02"/>
    <x v="4"/>
    <x v="304"/>
    <n v="185.85"/>
    <n v="95.43"/>
    <x v="1"/>
    <s v="OK"/>
    <s v="OK"/>
    <x v="129"/>
    <x v="1"/>
  </r>
  <r>
    <s v="ORD0299"/>
    <d v="2025-03-17T00:00:00"/>
    <x v="108"/>
    <x v="1"/>
    <x v="1"/>
    <s v="East"/>
    <n v="2"/>
    <n v="159.18"/>
    <x v="3"/>
    <x v="305"/>
    <n v="202.06"/>
    <n v="84.46"/>
    <x v="0"/>
    <s v="OK"/>
    <s v="OK"/>
    <x v="148"/>
    <x v="8"/>
  </r>
  <r>
    <s v="ORD0155"/>
    <d v="2025-02-15T00:00:00"/>
    <x v="45"/>
    <x v="15"/>
    <x v="3"/>
    <s v="North"/>
    <n v="2"/>
    <n v="151.13"/>
    <x v="4"/>
    <x v="306"/>
    <n v="158.47999999999999"/>
    <n v="128.66999999999999"/>
    <x v="2"/>
    <s v="OK"/>
    <s v="OK"/>
    <x v="54"/>
    <x v="9"/>
  </r>
  <r>
    <s v="ORD0234"/>
    <d v="2025-11-04T00:00:00"/>
    <x v="116"/>
    <x v="10"/>
    <x v="0"/>
    <s v="South"/>
    <n v="4"/>
    <n v="71.88"/>
    <x v="0"/>
    <x v="307"/>
    <n v="213.87"/>
    <n v="73.650000000000006"/>
    <x v="2"/>
    <s v="OK"/>
    <s v="OK"/>
    <x v="44"/>
    <x v="7"/>
  </r>
  <r>
    <s v="ORD0150"/>
    <d v="2025-02-06T00:00:00"/>
    <x v="149"/>
    <x v="15"/>
    <x v="3"/>
    <s v="West"/>
    <n v="4"/>
    <n v="72.099999999999994"/>
    <x v="0"/>
    <x v="308"/>
    <n v="221.21"/>
    <n v="67.19"/>
    <x v="1"/>
    <s v="OK"/>
    <s v="OK"/>
    <x v="161"/>
    <x v="9"/>
  </r>
  <r>
    <s v="ORD0401"/>
    <d v="2025-01-05T00:00:00"/>
    <x v="150"/>
    <x v="10"/>
    <x v="0"/>
    <s v="West"/>
    <n v="5"/>
    <n v="60.77"/>
    <x v="4"/>
    <x v="309"/>
    <n v="212.57"/>
    <n v="76.09"/>
    <x v="1"/>
    <s v="OK"/>
    <s v="OK"/>
    <x v="111"/>
    <x v="2"/>
  </r>
  <r>
    <s v="ORD0426"/>
    <d v="2025-01-06T00:00:00"/>
    <x v="70"/>
    <x v="6"/>
    <x v="0"/>
    <s v="East"/>
    <n v="2"/>
    <n v="169.87"/>
    <x v="1"/>
    <x v="310"/>
    <n v="167.71"/>
    <n v="121.07"/>
    <x v="1"/>
    <s v="OK"/>
    <s v="OK"/>
    <x v="210"/>
    <x v="2"/>
  </r>
  <r>
    <s v="ORD0109"/>
    <d v="2025-01-25T00:00:00"/>
    <x v="33"/>
    <x v="0"/>
    <x v="0"/>
    <s v="East"/>
    <n v="2"/>
    <n v="146.09"/>
    <x v="0"/>
    <x v="311"/>
    <n v="189.93"/>
    <n v="102.25"/>
    <x v="0"/>
    <s v="OK"/>
    <s v="OK"/>
    <x v="73"/>
    <x v="2"/>
  </r>
  <r>
    <s v="ORD0016"/>
    <d v="2025-02-13T00:00:00"/>
    <x v="90"/>
    <x v="5"/>
    <x v="3"/>
    <s v="South"/>
    <n v="5"/>
    <n v="58.85"/>
    <x v="0"/>
    <x v="312"/>
    <n v="202.14"/>
    <n v="92.11"/>
    <x v="0"/>
    <s v="OK"/>
    <s v="OK"/>
    <x v="52"/>
    <x v="9"/>
  </r>
  <r>
    <s v="ORD0497"/>
    <d v="2025-11-19T00:00:00"/>
    <x v="64"/>
    <x v="15"/>
    <x v="3"/>
    <s v="North"/>
    <n v="2"/>
    <n v="163.62"/>
    <x v="3"/>
    <x v="313"/>
    <n v="186.11"/>
    <n v="108.41"/>
    <x v="1"/>
    <s v="OK"/>
    <s v="OK"/>
    <x v="164"/>
    <x v="7"/>
  </r>
  <r>
    <s v="ORD0292"/>
    <d v="2025-03-25T00:00:00"/>
    <x v="102"/>
    <x v="5"/>
    <x v="3"/>
    <s v="North"/>
    <n v="4"/>
    <n v="73.64"/>
    <x v="0"/>
    <x v="314"/>
    <n v="198.48"/>
    <n v="96.08"/>
    <x v="1"/>
    <s v="OK"/>
    <s v="OK"/>
    <x v="172"/>
    <x v="8"/>
  </r>
  <r>
    <s v="ORD0414"/>
    <d v="2025-07-31T00:00:00"/>
    <x v="132"/>
    <x v="8"/>
    <x v="1"/>
    <s v="East"/>
    <n v="3"/>
    <n v="109.39"/>
    <x v="3"/>
    <x v="315"/>
    <n v="218.94"/>
    <n v="76.41"/>
    <x v="1"/>
    <s v="OK"/>
    <s v="OK"/>
    <x v="211"/>
    <x v="6"/>
  </r>
  <r>
    <s v="ORD0265"/>
    <d v="2025-07-01T00:00:00"/>
    <x v="108"/>
    <x v="9"/>
    <x v="2"/>
    <s v="West"/>
    <n v="2"/>
    <n v="164.42"/>
    <x v="3"/>
    <x v="316"/>
    <n v="163.4"/>
    <n v="132.56"/>
    <x v="1"/>
    <s v="OK"/>
    <s v="OK"/>
    <x v="212"/>
    <x v="6"/>
  </r>
  <r>
    <s v="ORD0396"/>
    <d v="2025-10-16T00:00:00"/>
    <x v="92"/>
    <x v="12"/>
    <x v="2"/>
    <s v="South"/>
    <n v="4"/>
    <n v="74.11"/>
    <x v="0"/>
    <x v="317"/>
    <n v="237.66"/>
    <n v="58.78"/>
    <x v="1"/>
    <s v="OK"/>
    <s v="OK"/>
    <x v="191"/>
    <x v="3"/>
  </r>
  <r>
    <s v="ORD0232"/>
    <d v="2025-09-03T00:00:00"/>
    <x v="57"/>
    <x v="5"/>
    <x v="3"/>
    <s v="North"/>
    <n v="5"/>
    <n v="74.58"/>
    <x v="2"/>
    <x v="318"/>
    <n v="186.32"/>
    <n v="112"/>
    <x v="1"/>
    <s v="OK"/>
    <s v="OK"/>
    <x v="205"/>
    <x v="10"/>
  </r>
  <r>
    <s v="ORD0084"/>
    <d v="2025-01-15T00:00:00"/>
    <x v="106"/>
    <x v="3"/>
    <x v="1"/>
    <s v="North"/>
    <n v="3"/>
    <n v="99.52"/>
    <x v="0"/>
    <x v="319"/>
    <n v="204.28"/>
    <n v="94.28"/>
    <x v="1"/>
    <s v="OK"/>
    <s v="OK"/>
    <x v="213"/>
    <x v="2"/>
  </r>
  <r>
    <s v="ORD0172"/>
    <d v="2025-11-13T00:00:00"/>
    <x v="134"/>
    <x v="5"/>
    <x v="3"/>
    <s v="South"/>
    <n v="2"/>
    <n v="149.29"/>
    <x v="0"/>
    <x v="320"/>
    <n v="224.27"/>
    <n v="74.31"/>
    <x v="1"/>
    <s v="OK"/>
    <s v="OK"/>
    <x v="214"/>
    <x v="7"/>
  </r>
  <r>
    <s v="ORD0444"/>
    <d v="2025-10-04T00:00:00"/>
    <x v="151"/>
    <x v="13"/>
    <x v="2"/>
    <s v="South"/>
    <n v="4"/>
    <n v="75.209999999999994"/>
    <x v="0"/>
    <x v="321"/>
    <n v="188.77"/>
    <n v="112.07"/>
    <x v="1"/>
    <s v="OK"/>
    <s v="OK"/>
    <x v="190"/>
    <x v="3"/>
  </r>
  <r>
    <s v="ORD0021"/>
    <d v="2025-06-21T00:00:00"/>
    <x v="105"/>
    <x v="9"/>
    <x v="2"/>
    <s v="South"/>
    <n v="5"/>
    <n v="67.349999999999994"/>
    <x v="3"/>
    <x v="322"/>
    <n v="228.59"/>
    <n v="74.489999999999995"/>
    <x v="2"/>
    <s v="OK"/>
    <s v="OK"/>
    <x v="215"/>
    <x v="11"/>
  </r>
  <r>
    <s v="ORD0035"/>
    <d v="2025-10-15T00:00:00"/>
    <x v="97"/>
    <x v="11"/>
    <x v="3"/>
    <m/>
    <n v="2"/>
    <n v="169.02"/>
    <x v="3"/>
    <x v="323"/>
    <n v="219.36"/>
    <n v="84.88"/>
    <x v="1"/>
    <s v="OK"/>
    <s v="OK"/>
    <x v="12"/>
    <x v="3"/>
  </r>
  <r>
    <s v="ORD0059"/>
    <d v="2025-10-28T00:00:00"/>
    <x v="82"/>
    <x v="12"/>
    <x v="2"/>
    <s v="West"/>
    <n v="5"/>
    <n v="71.75"/>
    <x v="1"/>
    <x v="324"/>
    <n v="254.37"/>
    <n v="50.57"/>
    <x v="1"/>
    <s v="OK"/>
    <s v="OK"/>
    <x v="216"/>
    <x v="3"/>
  </r>
  <r>
    <s v="ORD0163"/>
    <d v="2025-02-27T00:00:00"/>
    <x v="117"/>
    <x v="4"/>
    <x v="0"/>
    <s v="South"/>
    <n v="4"/>
    <n v="76.39"/>
    <x v="0"/>
    <x v="325"/>
    <n v="258.26"/>
    <n v="47.3"/>
    <x v="1"/>
    <s v="OK"/>
    <s v="OK"/>
    <x v="217"/>
    <x v="9"/>
  </r>
  <r>
    <s v="ORD0383"/>
    <d v="2025-05-27T00:00:00"/>
    <x v="152"/>
    <x v="15"/>
    <x v="3"/>
    <s v="East"/>
    <n v="2"/>
    <n v="160.88999999999999"/>
    <x v="4"/>
    <x v="326"/>
    <n v="186.88"/>
    <n v="118.81"/>
    <x v="1"/>
    <s v="OK"/>
    <s v="OK"/>
    <x v="204"/>
    <x v="4"/>
  </r>
  <r>
    <s v="ORD0317"/>
    <d v="2025-06-16T00:00:00"/>
    <x v="12"/>
    <x v="4"/>
    <x v="0"/>
    <s v="West"/>
    <n v="3"/>
    <n v="108.14"/>
    <x v="4"/>
    <x v="327"/>
    <n v="225.09"/>
    <n v="83.11"/>
    <x v="0"/>
    <s v="OK"/>
    <s v="OK"/>
    <x v="188"/>
    <x v="11"/>
  </r>
  <r>
    <s v="ORD0463"/>
    <d v="2025-07-03T00:00:00"/>
    <x v="33"/>
    <x v="3"/>
    <x v="1"/>
    <s v="South"/>
    <n v="4"/>
    <n v="86.24"/>
    <x v="3"/>
    <x v="328"/>
    <n v="255.53"/>
    <n v="54.93"/>
    <x v="0"/>
    <s v="OK"/>
    <s v="OK"/>
    <x v="50"/>
    <x v="6"/>
  </r>
  <r>
    <s v="ORD0224"/>
    <d v="2025-10-08T00:00:00"/>
    <x v="136"/>
    <x v="14"/>
    <x v="3"/>
    <s v="North"/>
    <n v="2"/>
    <n v="172.66"/>
    <x v="3"/>
    <x v="329"/>
    <n v="257.89999999999998"/>
    <n v="52.89"/>
    <x v="1"/>
    <s v="OK"/>
    <s v="OK"/>
    <x v="218"/>
    <x v="3"/>
  </r>
  <r>
    <s v="ORD0039"/>
    <d v="2025-04-11T00:00:00"/>
    <x v="112"/>
    <x v="6"/>
    <x v="0"/>
    <s v="North"/>
    <n v="2"/>
    <n v="155.99"/>
    <x v="0"/>
    <x v="330"/>
    <n v="175.22"/>
    <n v="136.76"/>
    <x v="1"/>
    <s v="OK"/>
    <s v="OK"/>
    <x v="11"/>
    <x v="5"/>
  </r>
  <r>
    <s v="ORD0228"/>
    <d v="2025-06-27T00:00:00"/>
    <x v="153"/>
    <x v="3"/>
    <x v="1"/>
    <s v="West"/>
    <n v="3"/>
    <n v="105.08"/>
    <x v="0"/>
    <x v="331"/>
    <n v="193.41"/>
    <n v="121.83"/>
    <x v="1"/>
    <s v="OK"/>
    <s v="OK"/>
    <x v="219"/>
    <x v="11"/>
  </r>
  <r>
    <s v="ORD0312"/>
    <d v="2025-02-08T00:00:00"/>
    <x v="120"/>
    <x v="14"/>
    <x v="3"/>
    <s v="East"/>
    <n v="3"/>
    <n v="110.98"/>
    <x v="4"/>
    <x v="332"/>
    <n v="187.14"/>
    <n v="129.15"/>
    <x v="1"/>
    <s v="OK"/>
    <s v="OK"/>
    <x v="75"/>
    <x v="9"/>
  </r>
  <r>
    <s v="ORD0434"/>
    <d v="2025-04-13T00:00:00"/>
    <x v="41"/>
    <x v="11"/>
    <x v="3"/>
    <s v="North"/>
    <n v="5"/>
    <n v="75.400000000000006"/>
    <x v="1"/>
    <x v="333"/>
    <n v="195.89"/>
    <n v="124.56"/>
    <x v="1"/>
    <s v="OK"/>
    <s v="OK"/>
    <x v="195"/>
    <x v="5"/>
  </r>
  <r>
    <s v="ORD0204"/>
    <d v="2025-03-18T00:00:00"/>
    <x v="82"/>
    <x v="7"/>
    <x v="1"/>
    <s v="South"/>
    <n v="3"/>
    <n v="107.92"/>
    <x v="0"/>
    <x v="334"/>
    <n v="247.77"/>
    <n v="75.989999999999995"/>
    <x v="1"/>
    <s v="OK"/>
    <s v="OK"/>
    <x v="220"/>
    <x v="8"/>
  </r>
  <r>
    <s v="ORD0441"/>
    <d v="2025-03-03T00:00:00"/>
    <x v="29"/>
    <x v="12"/>
    <x v="2"/>
    <s v="North"/>
    <n v="3"/>
    <n v="120.96"/>
    <x v="3"/>
    <x v="335"/>
    <n v="180.44"/>
    <n v="146.15"/>
    <x v="1"/>
    <s v="OK"/>
    <s v="OK"/>
    <x v="131"/>
    <x v="8"/>
  </r>
  <r>
    <s v="ORD0303"/>
    <d v="2025-04-03T00:00:00"/>
    <x v="70"/>
    <x v="9"/>
    <x v="2"/>
    <s v="North"/>
    <n v="2"/>
    <n v="164.07"/>
    <x v="0"/>
    <x v="336"/>
    <n v="226.71"/>
    <n v="101.43"/>
    <x v="1"/>
    <s v="OK"/>
    <s v="OK"/>
    <x v="221"/>
    <x v="5"/>
  </r>
  <r>
    <s v="ORD0209"/>
    <d v="2025-04-18T00:00:00"/>
    <x v="52"/>
    <x v="6"/>
    <x v="0"/>
    <s v="East"/>
    <n v="3"/>
    <n v="115.3"/>
    <x v="4"/>
    <x v="337"/>
    <n v="238.56"/>
    <n v="90.04"/>
    <x v="1"/>
    <s v="OK"/>
    <s v="OK"/>
    <x v="122"/>
    <x v="5"/>
  </r>
  <r>
    <s v="ORD0098"/>
    <d v="2025-06-02T00:00:00"/>
    <x v="126"/>
    <x v="12"/>
    <x v="2"/>
    <s v="North"/>
    <n v="3"/>
    <n v="115.35"/>
    <x v="4"/>
    <x v="338"/>
    <n v="224.08"/>
    <n v="104.67"/>
    <x v="1"/>
    <s v="OK"/>
    <s v="OK"/>
    <x v="181"/>
    <x v="11"/>
  </r>
  <r>
    <s v="ORD0407"/>
    <d v="2025-02-10T00:00:00"/>
    <x v="154"/>
    <x v="5"/>
    <x v="3"/>
    <s v="West"/>
    <n v="3"/>
    <n v="110.4"/>
    <x v="0"/>
    <x v="339"/>
    <n v="274.12"/>
    <n v="57.08"/>
    <x v="0"/>
    <s v="OK"/>
    <s v="OK"/>
    <x v="222"/>
    <x v="9"/>
  </r>
  <r>
    <s v="ORD0285"/>
    <d v="2025-12-30T00:00:00"/>
    <x v="124"/>
    <x v="5"/>
    <x v="3"/>
    <s v="West"/>
    <n v="3"/>
    <n v="138.65"/>
    <x v="2"/>
    <x v="340"/>
    <n v="272.99"/>
    <n v="59.77"/>
    <x v="0"/>
    <s v="OK"/>
    <s v="OK"/>
    <x v="143"/>
    <x v="0"/>
  </r>
  <r>
    <s v="ORD0421"/>
    <d v="2025-12-29T00:00:00"/>
    <x v="136"/>
    <x v="15"/>
    <x v="3"/>
    <s v="West"/>
    <n v="3"/>
    <n v="111"/>
    <x v="0"/>
    <x v="341"/>
    <n v="242.11"/>
    <n v="90.89"/>
    <x v="2"/>
    <s v="OK"/>
    <s v="OK"/>
    <x v="223"/>
    <x v="0"/>
  </r>
  <r>
    <s v="ORD0066"/>
    <d v="2025-12-23T00:00:00"/>
    <x v="123"/>
    <x v="15"/>
    <x v="3"/>
    <s v="West"/>
    <n v="4"/>
    <n v="87.76"/>
    <x v="4"/>
    <x v="342"/>
    <n v="241.81"/>
    <n v="91.68"/>
    <x v="0"/>
    <s v="OK"/>
    <s v="OK"/>
    <x v="224"/>
    <x v="0"/>
  </r>
  <r>
    <s v="ORD0048"/>
    <d v="2025-09-25T00:00:00"/>
    <x v="155"/>
    <x v="9"/>
    <x v="2"/>
    <s v="North"/>
    <n v="3"/>
    <n v="118.65"/>
    <x v="4"/>
    <x v="343"/>
    <n v="241.33"/>
    <n v="96.82"/>
    <x v="2"/>
    <s v="OK"/>
    <s v="OK"/>
    <x v="84"/>
    <x v="10"/>
  </r>
  <r>
    <s v="ORD0353"/>
    <d v="2025-11-25T00:00:00"/>
    <x v="44"/>
    <x v="1"/>
    <x v="1"/>
    <s v="East"/>
    <n v="5"/>
    <n v="79.64"/>
    <x v="1"/>
    <x v="344"/>
    <n v="272.5"/>
    <n v="65.97"/>
    <x v="1"/>
    <s v="OK"/>
    <s v="OK"/>
    <x v="225"/>
    <x v="7"/>
  </r>
  <r>
    <s v="ORD0105"/>
    <d v="2025-04-21T00:00:00"/>
    <x v="20"/>
    <x v="2"/>
    <x v="2"/>
    <s v="West"/>
    <n v="2"/>
    <n v="170.93"/>
    <x v="0"/>
    <x v="345"/>
    <n v="248.15"/>
    <n v="93.71"/>
    <x v="1"/>
    <s v="OK"/>
    <s v="OK"/>
    <x v="100"/>
    <x v="5"/>
  </r>
  <r>
    <s v="ORD0274"/>
    <d v="2025-02-28T00:00:00"/>
    <x v="156"/>
    <x v="12"/>
    <x v="2"/>
    <s v="East"/>
    <n v="3"/>
    <n v="119.97"/>
    <x v="4"/>
    <x v="346"/>
    <n v="194.44"/>
    <n v="147.47"/>
    <x v="0"/>
    <s v="OK"/>
    <s v="OK"/>
    <x v="61"/>
    <x v="9"/>
  </r>
  <r>
    <s v="ORD0203"/>
    <d v="2025-02-21T00:00:00"/>
    <x v="56"/>
    <x v="13"/>
    <x v="2"/>
    <s v="North"/>
    <n v="5"/>
    <n v="68.48"/>
    <x v="0"/>
    <x v="347"/>
    <n v="238.23"/>
    <n v="104.17"/>
    <x v="2"/>
    <s v="OK"/>
    <s v="OK"/>
    <x v="226"/>
    <x v="9"/>
  </r>
  <r>
    <s v="ORD0107"/>
    <d v="2025-10-29T00:00:00"/>
    <x v="23"/>
    <x v="6"/>
    <x v="0"/>
    <s v="North"/>
    <n v="3"/>
    <n v="134.66999999999999"/>
    <x v="1"/>
    <x v="348"/>
    <n v="284.23"/>
    <n v="59.18"/>
    <x v="1"/>
    <s v="OK"/>
    <s v="OK"/>
    <x v="176"/>
    <x v="3"/>
  </r>
  <r>
    <s v="ORD0046"/>
    <d v="2025-06-29T00:00:00"/>
    <x v="156"/>
    <x v="5"/>
    <x v="3"/>
    <s v="South"/>
    <n v="5"/>
    <n v="76.540000000000006"/>
    <x v="3"/>
    <x v="349"/>
    <n v="255.06"/>
    <n v="89.37"/>
    <x v="1"/>
    <s v="OK"/>
    <s v="OK"/>
    <x v="227"/>
    <x v="11"/>
  </r>
  <r>
    <s v="ORD0461"/>
    <d v="2025-11-17T00:00:00"/>
    <x v="151"/>
    <x v="1"/>
    <x v="1"/>
    <s v="East"/>
    <n v="3"/>
    <n v="127.91"/>
    <x v="3"/>
    <x v="350"/>
    <n v="218.47"/>
    <n v="126.89"/>
    <x v="1"/>
    <s v="OK"/>
    <s v="OK"/>
    <x v="228"/>
    <x v="7"/>
  </r>
  <r>
    <s v="ORD0293"/>
    <d v="2025-10-02T00:00:00"/>
    <x v="120"/>
    <x v="12"/>
    <x v="2"/>
    <s v="West"/>
    <n v="2"/>
    <n v="174.19"/>
    <x v="0"/>
    <x v="351"/>
    <n v="265.57"/>
    <n v="82.81"/>
    <x v="1"/>
    <s v="OK"/>
    <s v="OK"/>
    <x v="24"/>
    <x v="3"/>
  </r>
  <r>
    <s v="ORD0097"/>
    <d v="2025-02-11T00:00:00"/>
    <x v="147"/>
    <x v="0"/>
    <x v="0"/>
    <s v="South"/>
    <n v="3"/>
    <n v="122.41"/>
    <x v="4"/>
    <x v="352"/>
    <n v="229.43"/>
    <n v="119.44"/>
    <x v="2"/>
    <s v="OK"/>
    <s v="OK"/>
    <x v="166"/>
    <x v="9"/>
  </r>
  <r>
    <s v="ORD0061"/>
    <d v="2025-12-27T00:00:00"/>
    <x v="99"/>
    <x v="1"/>
    <x v="1"/>
    <s v="North"/>
    <n v="5"/>
    <n v="77.69"/>
    <x v="3"/>
    <x v="353"/>
    <n v="269.99"/>
    <n v="79.61"/>
    <x v="2"/>
    <s v="OK"/>
    <s v="OK"/>
    <x v="229"/>
    <x v="0"/>
  </r>
  <r>
    <s v="ORD0288"/>
    <d v="2025-09-05T00:00:00"/>
    <x v="37"/>
    <x v="14"/>
    <x v="3"/>
    <s v="East"/>
    <n v="3"/>
    <n v="117.07"/>
    <x v="0"/>
    <x v="354"/>
    <n v="264.41000000000003"/>
    <n v="86.8"/>
    <x v="1"/>
    <s v="OK"/>
    <s v="OK"/>
    <x v="183"/>
    <x v="10"/>
  </r>
  <r>
    <s v="ORD0428"/>
    <d v="2025-09-04T00:00:00"/>
    <x v="20"/>
    <x v="0"/>
    <x v="0"/>
    <s v="North"/>
    <n v="5"/>
    <n v="78.709999999999994"/>
    <x v="3"/>
    <x v="355"/>
    <n v="235.7"/>
    <n v="118.5"/>
    <x v="2"/>
    <s v="OK"/>
    <s v="OK"/>
    <x v="192"/>
    <x v="10"/>
  </r>
  <r>
    <s v="ORD0033"/>
    <d v="2025-08-21T00:00:00"/>
    <x v="119"/>
    <x v="10"/>
    <x v="0"/>
    <s v="West"/>
    <n v="4"/>
    <n v="88.83"/>
    <x v="0"/>
    <x v="356"/>
    <n v="289.60000000000002"/>
    <n v="65.72"/>
    <x v="0"/>
    <s v="OK"/>
    <s v="OK"/>
    <x v="230"/>
    <x v="1"/>
  </r>
  <r>
    <s v="ORD0432"/>
    <d v="2025-12-20T00:00:00"/>
    <x v="98"/>
    <x v="11"/>
    <x v="3"/>
    <s v="South"/>
    <n v="3"/>
    <n v="124.78"/>
    <x v="4"/>
    <x v="357"/>
    <n v="275.99"/>
    <n v="79.63"/>
    <x v="2"/>
    <s v="OK"/>
    <s v="OK"/>
    <x v="231"/>
    <x v="0"/>
  </r>
  <r>
    <s v="ORD0181"/>
    <d v="2025-08-25T00:00:00"/>
    <x v="157"/>
    <x v="14"/>
    <x v="3"/>
    <s v="West"/>
    <n v="2"/>
    <n v="178.65"/>
    <x v="0"/>
    <x v="358"/>
    <n v="235.01"/>
    <n v="122.29"/>
    <x v="1"/>
    <s v="OK"/>
    <s v="OK"/>
    <x v="133"/>
    <x v="1"/>
  </r>
  <r>
    <s v="ORD0068"/>
    <d v="2025-09-08T00:00:00"/>
    <x v="70"/>
    <x v="5"/>
    <x v="3"/>
    <s v="North"/>
    <n v="3"/>
    <n v="132.82"/>
    <x v="3"/>
    <x v="359"/>
    <n v="242.23"/>
    <n v="116.38"/>
    <x v="1"/>
    <s v="OK"/>
    <s v="OK"/>
    <x v="232"/>
    <x v="10"/>
  </r>
  <r>
    <s v="ORD0408"/>
    <d v="2025-05-14T00:00:00"/>
    <x v="56"/>
    <x v="7"/>
    <x v="1"/>
    <s v="South"/>
    <n v="3"/>
    <n v="119.54"/>
    <x v="0"/>
    <x v="360"/>
    <n v="198.87"/>
    <n v="159.75"/>
    <x v="1"/>
    <s v="OK"/>
    <s v="OK"/>
    <x v="233"/>
    <x v="4"/>
  </r>
  <r>
    <s v="ORD0458"/>
    <d v="2025-07-02T00:00:00"/>
    <x v="120"/>
    <x v="1"/>
    <x v="1"/>
    <s v="North"/>
    <n v="4"/>
    <n v="105.95"/>
    <x v="1"/>
    <x v="361"/>
    <n v="239.1"/>
    <n v="121.13"/>
    <x v="1"/>
    <s v="OK"/>
    <s v="OK"/>
    <x v="234"/>
    <x v="6"/>
  </r>
  <r>
    <s v="ORD0113"/>
    <d v="2025-11-01T00:00:00"/>
    <x v="7"/>
    <x v="1"/>
    <x v="0"/>
    <s v="North"/>
    <n v="5"/>
    <n v="76.34"/>
    <x v="4"/>
    <x v="362"/>
    <n v="286.45"/>
    <n v="76.17"/>
    <x v="2"/>
    <s v="OK"/>
    <s v="OK"/>
    <x v="135"/>
    <x v="7"/>
  </r>
  <r>
    <s v="ORD0494"/>
    <d v="2025-08-26T00:00:00"/>
    <x v="20"/>
    <x v="0"/>
    <x v="0"/>
    <s v="West"/>
    <n v="4"/>
    <n v="115.1"/>
    <x v="2"/>
    <x v="363"/>
    <n v="237.04"/>
    <n v="131.28"/>
    <x v="1"/>
    <s v="OK"/>
    <s v="OK"/>
    <x v="235"/>
    <x v="1"/>
  </r>
  <r>
    <s v="ORD0400"/>
    <d v="2025-11-24T00:00:00"/>
    <x v="117"/>
    <x v="15"/>
    <x v="3"/>
    <s v="North"/>
    <n v="3"/>
    <n v="154.32"/>
    <x v="2"/>
    <x v="364"/>
    <n v="273.48"/>
    <n v="96.89"/>
    <x v="0"/>
    <s v="OK"/>
    <s v="OK"/>
    <x v="236"/>
    <x v="7"/>
  </r>
  <r>
    <s v="ORD0177"/>
    <d v="2025-02-28T00:00:00"/>
    <x v="124"/>
    <x v="2"/>
    <x v="2"/>
    <s v="West"/>
    <n v="4"/>
    <n v="103.52"/>
    <x v="3"/>
    <x v="365"/>
    <n v="230.51"/>
    <n v="142.16"/>
    <x v="1"/>
    <s v="OK"/>
    <s v="OK"/>
    <x v="61"/>
    <x v="9"/>
  </r>
  <r>
    <s v="ORD0261"/>
    <d v="2025-03-16T00:00:00"/>
    <x v="91"/>
    <x v="6"/>
    <x v="0"/>
    <s v="North"/>
    <n v="4"/>
    <n v="93.34"/>
    <x v="0"/>
    <x v="366"/>
    <n v="282.18"/>
    <n v="91.18"/>
    <x v="0"/>
    <s v="OK"/>
    <s v="OK"/>
    <x v="237"/>
    <x v="8"/>
  </r>
  <r>
    <s v="ORD0125"/>
    <d v="2025-03-17T00:00:00"/>
    <x v="158"/>
    <x v="6"/>
    <x v="0"/>
    <s v="North"/>
    <n v="4"/>
    <n v="93.67"/>
    <x v="0"/>
    <x v="367"/>
    <n v="251.63"/>
    <n v="123.05"/>
    <x v="1"/>
    <s v="OK"/>
    <s v="OK"/>
    <x v="148"/>
    <x v="8"/>
  </r>
  <r>
    <s v="ORD0487"/>
    <d v="2025-11-09T00:00:00"/>
    <x v="137"/>
    <x v="9"/>
    <x v="2"/>
    <s v="North"/>
    <n v="4"/>
    <n v="94.22"/>
    <x v="0"/>
    <x v="368"/>
    <n v="211.23"/>
    <n v="165.65"/>
    <x v="1"/>
    <s v="OK"/>
    <s v="OK"/>
    <x v="27"/>
    <x v="7"/>
  </r>
  <r>
    <s v="ORD0106"/>
    <d v="2025-04-02T00:00:00"/>
    <x v="159"/>
    <x v="7"/>
    <x v="1"/>
    <s v="South"/>
    <n v="4"/>
    <n v="105.2"/>
    <x v="3"/>
    <x v="369"/>
    <n v="313.11"/>
    <n v="65.61"/>
    <x v="1"/>
    <s v="OK"/>
    <s v="OK"/>
    <x v="238"/>
    <x v="5"/>
  </r>
  <r>
    <s v="ORD0216"/>
    <d v="2025-02-05T00:00:00"/>
    <x v="104"/>
    <x v="11"/>
    <x v="3"/>
    <s v="North"/>
    <n v="3"/>
    <n v="133.66999999999999"/>
    <x v="4"/>
    <x v="370"/>
    <n v="216.4"/>
    <n v="164.56"/>
    <x v="0"/>
    <s v="OK"/>
    <s v="OK"/>
    <x v="201"/>
    <x v="9"/>
  </r>
  <r>
    <s v="ORD0060"/>
    <d v="2025-01-19T00:00:00"/>
    <x v="69"/>
    <x v="15"/>
    <x v="3"/>
    <s v="South"/>
    <n v="3"/>
    <n v="141.66999999999999"/>
    <x v="3"/>
    <x v="371"/>
    <n v="259.06"/>
    <n v="123.45"/>
    <x v="1"/>
    <s v="OK"/>
    <s v="OK"/>
    <x v="239"/>
    <x v="2"/>
  </r>
  <r>
    <s v="ORD0478"/>
    <d v="2025-02-08T00:00:00"/>
    <x v="26"/>
    <x v="6"/>
    <x v="0"/>
    <s v="North"/>
    <n v="3"/>
    <n v="134.63"/>
    <x v="4"/>
    <x v="372"/>
    <n v="311.14"/>
    <n v="72.56"/>
    <x v="0"/>
    <s v="OK"/>
    <s v="OK"/>
    <x v="75"/>
    <x v="9"/>
  </r>
  <r>
    <s v="ORD0313"/>
    <d v="2025-03-22T00:00:00"/>
    <x v="15"/>
    <x v="9"/>
    <x v="2"/>
    <s v="South"/>
    <n v="3"/>
    <n v="135.44999999999999"/>
    <x v="4"/>
    <x v="373"/>
    <n v="308.32"/>
    <n v="77.709999999999994"/>
    <x v="1"/>
    <s v="OK"/>
    <s v="OK"/>
    <x v="240"/>
    <x v="8"/>
  </r>
  <r>
    <s v="ORD0429"/>
    <d v="2025-05-06T00:00:00"/>
    <x v="105"/>
    <x v="11"/>
    <x v="3"/>
    <s v="South"/>
    <n v="4"/>
    <n v="-25"/>
    <x v="0"/>
    <x v="374"/>
    <n v="222.14"/>
    <n v="164.14"/>
    <x v="1"/>
    <s v="Mismatch"/>
    <s v="OK"/>
    <x v="43"/>
    <x v="4"/>
  </r>
  <r>
    <s v="ORD0070"/>
    <d v="2025-11-07T00:00:00"/>
    <x v="10"/>
    <x v="6"/>
    <x v="0"/>
    <s v="West"/>
    <n v="3"/>
    <n v="152.84"/>
    <x v="1"/>
    <x v="375"/>
    <n v="269.16000000000003"/>
    <n v="120.58"/>
    <x v="1"/>
    <s v="OK"/>
    <s v="OK"/>
    <x v="174"/>
    <x v="7"/>
  </r>
  <r>
    <s v="ORD0031"/>
    <d v="2025-10-13T00:00:00"/>
    <x v="160"/>
    <x v="8"/>
    <x v="1"/>
    <s v="West"/>
    <n v="5"/>
    <n v="91.72"/>
    <x v="1"/>
    <x v="376"/>
    <n v="265.19"/>
    <n v="124.62"/>
    <x v="2"/>
    <s v="OK"/>
    <s v="OK"/>
    <x v="241"/>
    <x v="3"/>
  </r>
  <r>
    <s v="ORD0387"/>
    <d v="2025-11-13T00:00:00"/>
    <x v="43"/>
    <x v="0"/>
    <x v="0"/>
    <s v="West"/>
    <n v="4"/>
    <n v="97.87"/>
    <x v="0"/>
    <x v="377"/>
    <n v="329.6"/>
    <n v="61.88"/>
    <x v="2"/>
    <s v="OK"/>
    <s v="OK"/>
    <x v="214"/>
    <x v="7"/>
  </r>
  <r>
    <s v="ORD0144"/>
    <d v="2025-02-28T00:00:00"/>
    <x v="26"/>
    <x v="8"/>
    <x v="1"/>
    <s v="West"/>
    <n v="3"/>
    <n v="163.44"/>
    <x v="2"/>
    <x v="378"/>
    <n v="303.22000000000003"/>
    <n v="89.04"/>
    <x v="0"/>
    <s v="OK"/>
    <s v="OK"/>
    <x v="61"/>
    <x v="9"/>
  </r>
  <r>
    <s v="ORD0397"/>
    <d v="2025-06-17T00:00:00"/>
    <x v="94"/>
    <x v="4"/>
    <x v="0"/>
    <s v="North"/>
    <n v="4"/>
    <n v="104.14"/>
    <x v="4"/>
    <x v="379"/>
    <n v="301.49"/>
    <n v="94.24"/>
    <x v="1"/>
    <s v="OK"/>
    <s v="OK"/>
    <x v="242"/>
    <x v="11"/>
  </r>
  <r>
    <s v="ORD0368"/>
    <d v="2025-10-21T00:00:00"/>
    <x v="6"/>
    <x v="5"/>
    <x v="3"/>
    <s v="South"/>
    <n v="3"/>
    <n v="138.91"/>
    <x v="4"/>
    <x v="380"/>
    <n v="330.46"/>
    <n v="65.430000000000007"/>
    <x v="2"/>
    <s v="OK"/>
    <s v="OK"/>
    <x v="124"/>
    <x v="3"/>
  </r>
  <r>
    <s v="ORD0492"/>
    <d v="2025-02-07T00:00:00"/>
    <x v="106"/>
    <x v="3"/>
    <x v="1"/>
    <s v="North"/>
    <n v="4"/>
    <n v="110.73"/>
    <x v="3"/>
    <x v="381"/>
    <n v="242.24"/>
    <n v="156.38999999999999"/>
    <x v="0"/>
    <s v="OK"/>
    <s v="OK"/>
    <x v="87"/>
    <x v="9"/>
  </r>
  <r>
    <s v="ORD0090"/>
    <d v="2025-03-03T00:00:00"/>
    <x v="57"/>
    <x v="12"/>
    <x v="2"/>
    <s v="East"/>
    <n v="3"/>
    <n v="156.87"/>
    <x v="1"/>
    <x v="382"/>
    <n v="250.96"/>
    <n v="149.06"/>
    <x v="1"/>
    <s v="OK"/>
    <s v="OK"/>
    <x v="131"/>
    <x v="8"/>
  </r>
  <r>
    <s v="ORD0418"/>
    <d v="2025-12-11T00:00:00"/>
    <x v="69"/>
    <x v="2"/>
    <x v="2"/>
    <s v="North"/>
    <n v="3"/>
    <n v="140.57"/>
    <x v="4"/>
    <x v="383"/>
    <n v="245.13"/>
    <n v="155.49"/>
    <x v="1"/>
    <s v="OK"/>
    <s v="OK"/>
    <x v="243"/>
    <x v="0"/>
  </r>
  <r>
    <s v="ORD0366"/>
    <d v="2025-02-26T00:00:00"/>
    <x v="114"/>
    <x v="3"/>
    <x v="1"/>
    <s v="East"/>
    <n v="4"/>
    <n v="118.56"/>
    <x v="1"/>
    <x v="384"/>
    <n v="336.27"/>
    <n v="66.83"/>
    <x v="0"/>
    <s v="OK"/>
    <s v="OK"/>
    <x v="244"/>
    <x v="9"/>
  </r>
  <r>
    <s v="ORD0201"/>
    <d v="2025-12-30T00:00:00"/>
    <x v="134"/>
    <x v="7"/>
    <x v="1"/>
    <s v="East"/>
    <n v="4"/>
    <n v="112.56"/>
    <x v="3"/>
    <x v="385"/>
    <n v="321.7"/>
    <n v="83.52"/>
    <x v="1"/>
    <s v="OK"/>
    <s v="OK"/>
    <x v="143"/>
    <x v="0"/>
  </r>
  <r>
    <s v="ORD0416"/>
    <d v="2025-04-04T00:00:00"/>
    <x v="11"/>
    <x v="2"/>
    <x v="2"/>
    <s v="East"/>
    <n v="5"/>
    <n v="81.06"/>
    <x v="0"/>
    <x v="386"/>
    <n v="295.52"/>
    <n v="109.78"/>
    <x v="1"/>
    <s v="OK"/>
    <s v="OK"/>
    <x v="35"/>
    <x v="5"/>
  </r>
  <r>
    <s v="ORD0009"/>
    <d v="2025-12-11T00:00:00"/>
    <x v="83"/>
    <x v="10"/>
    <x v="0"/>
    <s v="North"/>
    <n v="4"/>
    <n v="101.34"/>
    <x v="0"/>
    <x v="387"/>
    <n v="320.5"/>
    <n v="84.86"/>
    <x v="1"/>
    <s v="OK"/>
    <s v="OK"/>
    <x v="243"/>
    <x v="0"/>
  </r>
  <r>
    <s v="ORD0473"/>
    <d v="2025-04-22T00:00:00"/>
    <x v="149"/>
    <x v="9"/>
    <x v="2"/>
    <s v="South"/>
    <n v="5"/>
    <n v="90.3"/>
    <x v="3"/>
    <x v="388"/>
    <n v="260.51"/>
    <n v="145.84"/>
    <x v="1"/>
    <s v="OK"/>
    <s v="OK"/>
    <x v="9"/>
    <x v="5"/>
  </r>
  <r>
    <s v="ORD0362"/>
    <d v="2025-08-02T00:00:00"/>
    <x v="61"/>
    <x v="10"/>
    <x v="0"/>
    <s v="West"/>
    <n v="3"/>
    <n v="150.72"/>
    <x v="3"/>
    <x v="389"/>
    <n v="259.36"/>
    <n v="147.58000000000001"/>
    <x v="2"/>
    <s v="OK"/>
    <s v="OK"/>
    <x v="36"/>
    <x v="1"/>
  </r>
  <r>
    <s v="ORD0282"/>
    <d v="2025-03-04T00:00:00"/>
    <x v="70"/>
    <x v="9"/>
    <x v="2"/>
    <s v="East"/>
    <n v="3"/>
    <n v="159.78"/>
    <x v="1"/>
    <x v="390"/>
    <n v="285.83999999999997"/>
    <n v="121.6"/>
    <x v="1"/>
    <s v="OK"/>
    <s v="OK"/>
    <x v="21"/>
    <x v="8"/>
  </r>
  <r>
    <s v="ORD0028"/>
    <d v="2025-12-15T00:00:00"/>
    <x v="58"/>
    <x v="12"/>
    <x v="2"/>
    <s v="West"/>
    <n v="4"/>
    <n v="107.88"/>
    <x v="4"/>
    <x v="391"/>
    <n v="341.09"/>
    <n v="68.849999999999994"/>
    <x v="1"/>
    <s v="OK"/>
    <s v="OK"/>
    <x v="245"/>
    <x v="0"/>
  </r>
  <r>
    <s v="ORD0264"/>
    <d v="2025-12-22T00:00:00"/>
    <x v="128"/>
    <x v="1"/>
    <x v="1"/>
    <s v="South"/>
    <n v="5"/>
    <n v="87.42"/>
    <x v="4"/>
    <x v="392"/>
    <n v="282.58999999999997"/>
    <n v="132.65"/>
    <x v="2"/>
    <s v="OK"/>
    <s v="OK"/>
    <x v="119"/>
    <x v="0"/>
  </r>
  <r>
    <s v="ORD0392"/>
    <d v="2025-02-20T00:00:00"/>
    <x v="49"/>
    <x v="1"/>
    <x v="1"/>
    <s v="North"/>
    <n v="3"/>
    <n v="138.55000000000001"/>
    <x v="5"/>
    <x v="393"/>
    <n v="292.68"/>
    <n v="122.97"/>
    <x v="1"/>
    <s v="Mismatch"/>
    <s v="OK"/>
    <x v="246"/>
    <x v="9"/>
  </r>
  <r>
    <s v="ORD0167"/>
    <d v="2025-04-27T00:00:00"/>
    <x v="22"/>
    <x v="12"/>
    <x v="2"/>
    <s v="West"/>
    <n v="4"/>
    <m/>
    <x v="0"/>
    <x v="394"/>
    <n v="248.99"/>
    <n v="167.21"/>
    <x v="2"/>
    <s v="Mismatch"/>
    <s v="OK"/>
    <x v="144"/>
    <x v="5"/>
  </r>
  <r>
    <s v="ORD0197"/>
    <d v="2025-10-06T00:00:00"/>
    <x v="94"/>
    <x v="5"/>
    <x v="3"/>
    <s v="North"/>
    <n v="4"/>
    <n v="122.83"/>
    <x v="1"/>
    <x v="395"/>
    <n v="325.19"/>
    <n v="92.43"/>
    <x v="1"/>
    <s v="OK"/>
    <s v="OK"/>
    <x v="247"/>
    <x v="3"/>
  </r>
  <r>
    <s v="ORD0140"/>
    <d v="2025-01-29T00:00:00"/>
    <x v="6"/>
    <x v="14"/>
    <x v="3"/>
    <s v="North"/>
    <n v="5"/>
    <n v="98.98"/>
    <x v="1"/>
    <x v="396"/>
    <n v="332.17"/>
    <n v="88.49"/>
    <x v="0"/>
    <s v="OK"/>
    <s v="OK"/>
    <x v="207"/>
    <x v="2"/>
  </r>
  <r>
    <s v="ORD0152"/>
    <d v="2025-12-19T00:00:00"/>
    <x v="61"/>
    <x v="9"/>
    <x v="2"/>
    <s v="East"/>
    <n v="3"/>
    <n v="156.69"/>
    <x v="3"/>
    <x v="397"/>
    <n v="298.83999999999997"/>
    <n v="124.22"/>
    <x v="0"/>
    <s v="OK"/>
    <s v="OK"/>
    <x v="248"/>
    <x v="0"/>
  </r>
  <r>
    <s v="ORD0034"/>
    <d v="2025-06-10T00:00:00"/>
    <x v="155"/>
    <x v="0"/>
    <x v="0"/>
    <s v="West"/>
    <n v="5"/>
    <n v="106.43"/>
    <x v="2"/>
    <x v="398"/>
    <n v="243.77"/>
    <n v="181.95"/>
    <x v="2"/>
    <s v="OK"/>
    <s v="OK"/>
    <x v="249"/>
    <x v="11"/>
  </r>
  <r>
    <s v="ORD0361"/>
    <d v="2025-05-15T00:00:00"/>
    <x v="74"/>
    <x v="14"/>
    <x v="3"/>
    <s v="East"/>
    <n v="4"/>
    <n v="118.4"/>
    <x v="3"/>
    <x v="399"/>
    <n v="307.08"/>
    <n v="119.16"/>
    <x v="2"/>
    <s v="OK"/>
    <s v="OK"/>
    <x v="250"/>
    <x v="4"/>
  </r>
  <r>
    <s v="ORD0051"/>
    <d v="2025-06-13T00:00:00"/>
    <x v="156"/>
    <x v="11"/>
    <x v="3"/>
    <s v="North"/>
    <n v="3"/>
    <n v="158.93"/>
    <x v="3"/>
    <x v="400"/>
    <n v="339.45"/>
    <n v="89.66"/>
    <x v="1"/>
    <s v="OK"/>
    <s v="OK"/>
    <x v="251"/>
    <x v="11"/>
  </r>
  <r>
    <s v="ORD0460"/>
    <d v="2025-10-04T00:00:00"/>
    <x v="77"/>
    <x v="14"/>
    <x v="3"/>
    <s v="North"/>
    <n v="3"/>
    <n v="151.25"/>
    <x v="4"/>
    <x v="401"/>
    <n v="348.77"/>
    <n v="82.29"/>
    <x v="1"/>
    <s v="OK"/>
    <s v="OK"/>
    <x v="190"/>
    <x v="3"/>
  </r>
  <r>
    <s v="ORD0223"/>
    <d v="2025-06-12T00:00:00"/>
    <x v="62"/>
    <x v="5"/>
    <x v="3"/>
    <s v="East"/>
    <n v="3"/>
    <n v="143.88999999999999"/>
    <x v="0"/>
    <x v="402"/>
    <n v="247.9"/>
    <n v="183.77"/>
    <x v="2"/>
    <s v="OK"/>
    <s v="OK"/>
    <x v="105"/>
    <x v="11"/>
  </r>
  <r>
    <s v="ORD0103"/>
    <d v="2025-04-05T00:00:00"/>
    <x v="107"/>
    <x v="1"/>
    <x v="1"/>
    <s v="East"/>
    <n v="5"/>
    <n v="91.65"/>
    <x v="4"/>
    <x v="403"/>
    <n v="340.25"/>
    <n v="95.09"/>
    <x v="1"/>
    <s v="OK"/>
    <s v="OK"/>
    <x v="155"/>
    <x v="5"/>
  </r>
  <r>
    <s v="ORD0120"/>
    <d v="2025-08-22T00:00:00"/>
    <x v="22"/>
    <x v="13"/>
    <x v="2"/>
    <s v="East"/>
    <n v="4"/>
    <n v="129.08000000000001"/>
    <x v="1"/>
    <x v="404"/>
    <n v="323.64"/>
    <n v="115.23"/>
    <x v="1"/>
    <s v="OK"/>
    <s v="OK"/>
    <x v="141"/>
    <x v="1"/>
  </r>
  <r>
    <s v="ORD0455"/>
    <d v="2025-10-31T00:00:00"/>
    <x v="50"/>
    <x v="2"/>
    <x v="2"/>
    <s v="South"/>
    <n v="3"/>
    <n v="154.06"/>
    <x v="4"/>
    <x v="405"/>
    <n v="243.29"/>
    <n v="195.78"/>
    <x v="0"/>
    <s v="OK"/>
    <s v="OK"/>
    <x v="252"/>
    <x v="3"/>
  </r>
  <r>
    <s v="ORD0149"/>
    <d v="2025-09-18T00:00:00"/>
    <x v="21"/>
    <x v="0"/>
    <x v="0"/>
    <s v="East"/>
    <n v="3"/>
    <n v="172.37"/>
    <x v="1"/>
    <x v="406"/>
    <n v="348.49"/>
    <n v="91.05"/>
    <x v="1"/>
    <s v="OK"/>
    <s v="OK"/>
    <x v="253"/>
    <x v="10"/>
  </r>
  <r>
    <s v="ORD0184"/>
    <d v="2025-01-28T00:00:00"/>
    <x v="62"/>
    <x v="1"/>
    <x v="1"/>
    <s v="East"/>
    <n v="4"/>
    <n v="109.99"/>
    <x v="0"/>
    <x v="407"/>
    <n v="293.60000000000002"/>
    <n v="146.36000000000001"/>
    <x v="1"/>
    <s v="OK"/>
    <s v="OK"/>
    <x v="254"/>
    <x v="2"/>
  </r>
  <r>
    <s v="ORD0403"/>
    <d v="2025-05-08T00:00:00"/>
    <x v="136"/>
    <x v="0"/>
    <x v="0"/>
    <s v="North"/>
    <n v="4"/>
    <n v="123.49"/>
    <x v="3"/>
    <x v="408"/>
    <n v="271.05"/>
    <n v="173.51"/>
    <x v="1"/>
    <s v="OK"/>
    <s v="OK"/>
    <x v="255"/>
    <x v="4"/>
  </r>
  <r>
    <s v="ORD0364"/>
    <d v="2025-10-05T00:00:00"/>
    <x v="68"/>
    <x v="13"/>
    <x v="2"/>
    <s v="East"/>
    <n v="5"/>
    <n v="99.29"/>
    <x v="3"/>
    <x v="409"/>
    <n v="332.15"/>
    <n v="114.66"/>
    <x v="0"/>
    <s v="OK"/>
    <s v="OK"/>
    <x v="256"/>
    <x v="3"/>
  </r>
  <r>
    <s v="ORD0445"/>
    <d v="2025-09-26T00:00:00"/>
    <x v="139"/>
    <x v="9"/>
    <x v="2"/>
    <s v="South"/>
    <n v="5"/>
    <n v="101.16"/>
    <x v="3"/>
    <x v="410"/>
    <n v="292.27999999999997"/>
    <n v="162.94"/>
    <x v="2"/>
    <s v="OK"/>
    <s v="OK"/>
    <x v="257"/>
    <x v="10"/>
  </r>
  <r>
    <s v="ORD0091"/>
    <d v="2025-10-02T00:00:00"/>
    <x v="47"/>
    <x v="9"/>
    <x v="2"/>
    <s v="North"/>
    <n v="3"/>
    <n v="152.24"/>
    <x v="0"/>
    <x v="411"/>
    <n v="383.83"/>
    <n v="72.89"/>
    <x v="0"/>
    <s v="OK"/>
    <s v="OK"/>
    <x v="24"/>
    <x v="3"/>
  </r>
  <r>
    <s v="ORD0305"/>
    <d v="2025-07-11T00:00:00"/>
    <x v="6"/>
    <x v="15"/>
    <x v="3"/>
    <s v="South"/>
    <n v="3"/>
    <n v="153.16"/>
    <x v="0"/>
    <x v="412"/>
    <n v="316.52"/>
    <n v="142.96"/>
    <x v="2"/>
    <s v="OK"/>
    <s v="OK"/>
    <x v="30"/>
    <x v="6"/>
  </r>
  <r>
    <s v="ORD0300"/>
    <d v="2025-02-07T00:00:00"/>
    <x v="47"/>
    <x v="1"/>
    <x v="1"/>
    <s v="North"/>
    <n v="3"/>
    <n v="161.51"/>
    <x v="4"/>
    <x v="413"/>
    <n v="337"/>
    <n v="123.3"/>
    <x v="1"/>
    <s v="OK"/>
    <s v="OK"/>
    <x v="87"/>
    <x v="9"/>
  </r>
  <r>
    <s v="ORD0040"/>
    <d v="2025-12-16T00:00:00"/>
    <x v="114"/>
    <x v="12"/>
    <x v="2"/>
    <s v="East"/>
    <n v="4"/>
    <n v="115.14"/>
    <x v="0"/>
    <x v="414"/>
    <n v="260.45"/>
    <n v="200.11"/>
    <x v="0"/>
    <s v="OK"/>
    <s v="OK"/>
    <x v="0"/>
    <x v="0"/>
  </r>
  <r>
    <s v="ORD0170"/>
    <d v="2025-12-19T00:00:00"/>
    <x v="145"/>
    <x v="13"/>
    <x v="2"/>
    <s v="North"/>
    <n v="4"/>
    <n v="128.82"/>
    <x v="3"/>
    <x v="415"/>
    <n v="256.42"/>
    <n v="207.33"/>
    <x v="0"/>
    <s v="OK"/>
    <s v="OK"/>
    <x v="248"/>
    <x v="0"/>
  </r>
  <r>
    <s v="ORD0230"/>
    <d v="2025-11-04T00:00:00"/>
    <x v="137"/>
    <x v="13"/>
    <x v="2"/>
    <s v="West"/>
    <n v="4"/>
    <n v="116.91"/>
    <x v="0"/>
    <x v="416"/>
    <n v="289.83999999999997"/>
    <n v="177.8"/>
    <x v="0"/>
    <s v="OK"/>
    <s v="OK"/>
    <x v="44"/>
    <x v="7"/>
  </r>
  <r>
    <s v="ORD0395"/>
    <d v="2025-09-28T00:00:00"/>
    <x v="129"/>
    <x v="1"/>
    <x v="1"/>
    <s v="West"/>
    <n v="4"/>
    <n v="123.42"/>
    <x v="4"/>
    <x v="417"/>
    <n v="335.24"/>
    <n v="133.76"/>
    <x v="1"/>
    <s v="OK"/>
    <s v="OK"/>
    <x v="156"/>
    <x v="10"/>
  </r>
  <r>
    <s v="ORD0439"/>
    <d v="2025-12-01T00:00:00"/>
    <x v="47"/>
    <x v="7"/>
    <x v="1"/>
    <s v="West"/>
    <n v="4"/>
    <n v="119.51"/>
    <x v="0"/>
    <x v="418"/>
    <n v="316.77"/>
    <n v="161.27000000000001"/>
    <x v="2"/>
    <s v="OK"/>
    <s v="OK"/>
    <x v="81"/>
    <x v="0"/>
  </r>
  <r>
    <s v="ORD0253"/>
    <d v="2025-02-23T00:00:00"/>
    <x v="25"/>
    <x v="10"/>
    <x v="0"/>
    <s v="North"/>
    <n v="5"/>
    <n v="100.66"/>
    <x v="4"/>
    <x v="419"/>
    <n v="384.61"/>
    <n v="93.52"/>
    <x v="1"/>
    <s v="OK"/>
    <s v="OK"/>
    <x v="94"/>
    <x v="9"/>
  </r>
  <r>
    <s v="ORD0412"/>
    <d v="2025-11-26T00:00:00"/>
    <x v="8"/>
    <x v="6"/>
    <x v="0"/>
    <s v="East"/>
    <n v="4"/>
    <n v="132.82"/>
    <x v="3"/>
    <x v="420"/>
    <n v="369.05"/>
    <n v="109.1"/>
    <x v="1"/>
    <s v="OK"/>
    <s v="OK"/>
    <x v="258"/>
    <x v="7"/>
  </r>
  <r>
    <s v="ORD0413"/>
    <d v="2025-04-03T00:00:00"/>
    <x v="134"/>
    <x v="5"/>
    <x v="3"/>
    <s v="North"/>
    <n v="3"/>
    <n v="161.09"/>
    <x v="0"/>
    <x v="421"/>
    <n v="382.83"/>
    <n v="100.44"/>
    <x v="0"/>
    <s v="OK"/>
    <s v="OK"/>
    <x v="221"/>
    <x v="5"/>
  </r>
  <r>
    <s v="ORD0129"/>
    <d v="2025-11-08T00:00:00"/>
    <x v="140"/>
    <x v="7"/>
    <x v="1"/>
    <s v="South"/>
    <n v="3"/>
    <n v="171.28"/>
    <x v="4"/>
    <x v="422"/>
    <n v="408.2"/>
    <n v="79.95"/>
    <x v="2"/>
    <s v="OK"/>
    <s v="OK"/>
    <x v="259"/>
    <x v="7"/>
  </r>
  <r>
    <s v="ORD0457"/>
    <d v="2025-06-20T00:00:00"/>
    <x v="80"/>
    <x v="0"/>
    <x v="0"/>
    <s v="North"/>
    <n v="5"/>
    <n v="108.95"/>
    <x v="3"/>
    <x v="423"/>
    <n v="415.37"/>
    <n v="74.91"/>
    <x v="1"/>
    <s v="OK"/>
    <s v="OK"/>
    <x v="260"/>
    <x v="11"/>
  </r>
  <r>
    <s v="ORD0349"/>
    <d v="2025-11-12T00:00:00"/>
    <x v="96"/>
    <x v="12"/>
    <x v="2"/>
    <s v="East"/>
    <n v="4"/>
    <n v="124.12"/>
    <x v="0"/>
    <x v="424"/>
    <n v="279.36"/>
    <n v="217.12"/>
    <x v="2"/>
    <s v="OK"/>
    <s v="OK"/>
    <x v="63"/>
    <x v="7"/>
  </r>
  <r>
    <s v="ORD0301"/>
    <d v="2025-03-08T00:00:00"/>
    <x v="40"/>
    <x v="4"/>
    <x v="0"/>
    <s v="West"/>
    <n v="4"/>
    <n v="124.35"/>
    <x v="0"/>
    <x v="425"/>
    <n v="308.52"/>
    <n v="188.88"/>
    <x v="0"/>
    <s v="OK"/>
    <s v="OK"/>
    <x v="17"/>
    <x v="8"/>
  </r>
  <r>
    <s v="ORD0433"/>
    <d v="2025-10-22T00:00:00"/>
    <x v="3"/>
    <x v="6"/>
    <x v="0"/>
    <s v="West"/>
    <n v="5"/>
    <n v="99.59"/>
    <x v="0"/>
    <x v="426"/>
    <n v="364.35"/>
    <n v="133.6"/>
    <x v="2"/>
    <s v="OK"/>
    <s v="OK"/>
    <x v="261"/>
    <x v="3"/>
  </r>
  <r>
    <s v="ORD0218"/>
    <d v="2025-12-26T00:00:00"/>
    <x v="143"/>
    <x v="12"/>
    <x v="2"/>
    <s v="North"/>
    <n v="3"/>
    <n v="167.47"/>
    <x v="0"/>
    <x v="427"/>
    <n v="336.51"/>
    <n v="165.9"/>
    <x v="2"/>
    <s v="OK"/>
    <s v="OK"/>
    <x v="86"/>
    <x v="0"/>
  </r>
  <r>
    <s v="ORD0015"/>
    <d v="2025-08-31T00:00:00"/>
    <x v="40"/>
    <x v="4"/>
    <x v="0"/>
    <s v="West"/>
    <n v="5"/>
    <n v="100.85"/>
    <x v="0"/>
    <x v="428"/>
    <n v="419.97"/>
    <n v="84.28"/>
    <x v="1"/>
    <s v="OK"/>
    <s v="OK"/>
    <x v="262"/>
    <x v="1"/>
  </r>
  <r>
    <s v="ORD0390"/>
    <d v="2025-07-21T00:00:00"/>
    <x v="63"/>
    <x v="7"/>
    <x v="1"/>
    <s v="East"/>
    <n v="5"/>
    <n v="101.31"/>
    <x v="0"/>
    <x v="429"/>
    <n v="336.45"/>
    <n v="170.1"/>
    <x v="1"/>
    <s v="OK"/>
    <s v="OK"/>
    <x v="263"/>
    <x v="6"/>
  </r>
  <r>
    <s v="ORD0450"/>
    <d v="2025-06-14T00:00:00"/>
    <x v="51"/>
    <x v="3"/>
    <x v="1"/>
    <s v="South"/>
    <n v="4"/>
    <n v="141.07"/>
    <x v="3"/>
    <x v="430"/>
    <n v="302.26"/>
    <n v="205.59"/>
    <x v="1"/>
    <s v="OK"/>
    <s v="OK"/>
    <x v="132"/>
    <x v="11"/>
  </r>
  <r>
    <s v="ORD0052"/>
    <d v="2025-09-25T00:00:00"/>
    <x v="102"/>
    <x v="10"/>
    <x v="0"/>
    <s v="East"/>
    <n v="3"/>
    <n v="178.37"/>
    <x v="4"/>
    <x v="431"/>
    <n v="336.33"/>
    <n v="172.02"/>
    <x v="2"/>
    <s v="OK"/>
    <s v="OK"/>
    <x v="84"/>
    <x v="10"/>
  </r>
  <r>
    <s v="ORD0449"/>
    <d v="2025-07-26T00:00:00"/>
    <x v="82"/>
    <x v="5"/>
    <x v="3"/>
    <s v="West"/>
    <n v="5"/>
    <n v="120.61"/>
    <x v="1"/>
    <x v="432"/>
    <n v="291.63"/>
    <n v="220.96"/>
    <x v="2"/>
    <s v="OK"/>
    <s v="OK"/>
    <x v="136"/>
    <x v="6"/>
  </r>
  <r>
    <s v="ORD0116"/>
    <d v="2025-09-04T00:00:00"/>
    <x v="155"/>
    <x v="3"/>
    <x v="1"/>
    <s v="West"/>
    <n v="4"/>
    <n v="152.44"/>
    <x v="1"/>
    <x v="433"/>
    <n v="348.5"/>
    <n v="169.8"/>
    <x v="1"/>
    <s v="OK"/>
    <s v="OK"/>
    <x v="192"/>
    <x v="10"/>
  </r>
  <r>
    <s v="ORD0250"/>
    <d v="2025-01-23T00:00:00"/>
    <x v="146"/>
    <x v="14"/>
    <x v="3"/>
    <s v="South"/>
    <n v="5"/>
    <n v="109.54"/>
    <x v="4"/>
    <x v="434"/>
    <n v="332.62"/>
    <n v="187.7"/>
    <x v="1"/>
    <s v="OK"/>
    <s v="OK"/>
    <x v="189"/>
    <x v="2"/>
  </r>
  <r>
    <s v="ORD0210"/>
    <d v="2025-03-19T00:00:00"/>
    <x v="104"/>
    <x v="0"/>
    <x v="0"/>
    <s v="North"/>
    <n v="5"/>
    <n v="118.42"/>
    <x v="3"/>
    <x v="435"/>
    <n v="380.49"/>
    <n v="152.4"/>
    <x v="1"/>
    <s v="OK"/>
    <s v="OK"/>
    <x v="264"/>
    <x v="8"/>
  </r>
  <r>
    <s v="ORD0263"/>
    <d v="2025-02-04T00:00:00"/>
    <x v="67"/>
    <x v="5"/>
    <x v="3"/>
    <s v="South"/>
    <n v="5"/>
    <n v="128"/>
    <x v="1"/>
    <x v="436"/>
    <n v="426.92"/>
    <n v="117.08"/>
    <x v="1"/>
    <s v="OK"/>
    <s v="OK"/>
    <x v="265"/>
    <x v="9"/>
  </r>
  <r>
    <s v="ORD0159"/>
    <d v="2025-02-02T00:00:00"/>
    <x v="133"/>
    <x v="1"/>
    <x v="1"/>
    <s v="East"/>
    <n v="4"/>
    <n v="136.94"/>
    <x v="0"/>
    <x v="437"/>
    <n v="425.87"/>
    <n v="121.89"/>
    <x v="2"/>
    <s v="OK"/>
    <s v="OK"/>
    <x v="40"/>
    <x v="9"/>
  </r>
  <r>
    <s v="ORD0117"/>
    <d v="2025-04-07T00:00:00"/>
    <x v="73"/>
    <x v="3"/>
    <x v="1"/>
    <s v="East"/>
    <n v="5"/>
    <n v="110.35"/>
    <x v="0"/>
    <x v="438"/>
    <n v="397.72"/>
    <n v="154.03"/>
    <x v="1"/>
    <s v="OK"/>
    <s v="OK"/>
    <x v="266"/>
    <x v="5"/>
  </r>
  <r>
    <s v="ORD0195"/>
    <d v="2025-07-11T00:00:00"/>
    <x v="51"/>
    <x v="9"/>
    <x v="2"/>
    <s v="North"/>
    <n v="5"/>
    <n v="122.72"/>
    <x v="3"/>
    <x v="439"/>
    <n v="361.48"/>
    <n v="190.76"/>
    <x v="1"/>
    <s v="OK"/>
    <s v="OK"/>
    <x v="30"/>
    <x v="6"/>
  </r>
  <r>
    <s v="ORD0279"/>
    <d v="2025-02-16T00:00:00"/>
    <x v="35"/>
    <x v="12"/>
    <x v="4"/>
    <s v="West"/>
    <n v="4"/>
    <n v="138.29"/>
    <x v="0"/>
    <x v="440"/>
    <n v="356.07"/>
    <n v="197.09"/>
    <x v="1"/>
    <s v="OK"/>
    <s v="OK"/>
    <x v="180"/>
    <x v="9"/>
  </r>
  <r>
    <s v="ORD0389"/>
    <d v="2025-02-16T00:00:00"/>
    <x v="88"/>
    <x v="5"/>
    <x v="3"/>
    <s v="West"/>
    <n v="5"/>
    <n v="130.57"/>
    <x v="1"/>
    <x v="441"/>
    <n v="335.44"/>
    <n v="219.48"/>
    <x v="1"/>
    <s v="OK"/>
    <s v="OK"/>
    <x v="180"/>
    <x v="9"/>
  </r>
  <r>
    <s v="ORD0328"/>
    <d v="2025-04-27T00:00:00"/>
    <x v="125"/>
    <x v="1"/>
    <x v="1"/>
    <s v="East"/>
    <n v="4"/>
    <n v="154.63999999999999"/>
    <x v="3"/>
    <x v="442"/>
    <n v="457.65"/>
    <n v="99.05"/>
    <x v="1"/>
    <s v="OK"/>
    <s v="OK"/>
    <x v="144"/>
    <x v="5"/>
  </r>
  <r>
    <s v="ORD0128"/>
    <d v="2025-06-13T00:00:00"/>
    <x v="102"/>
    <x v="1"/>
    <x v="1"/>
    <s v="East"/>
    <n v="4"/>
    <n v="140.61000000000001"/>
    <x v="0"/>
    <x v="443"/>
    <n v="450.58"/>
    <n v="111.86"/>
    <x v="1"/>
    <s v="OK"/>
    <s v="OK"/>
    <x v="251"/>
    <x v="11"/>
  </r>
  <r>
    <s v="ORD0188"/>
    <d v="2025-11-30T00:00:00"/>
    <x v="22"/>
    <x v="12"/>
    <x v="2"/>
    <s v="North"/>
    <n v="4"/>
    <n v="156.65"/>
    <x v="3"/>
    <x v="444"/>
    <n v="401.51"/>
    <n v="162.43"/>
    <x v="0"/>
    <s v="OK"/>
    <s v="OK"/>
    <x v="267"/>
    <x v="7"/>
  </r>
  <r>
    <s v="ORD0471"/>
    <d v="2025-02-05T00:00:00"/>
    <x v="23"/>
    <x v="15"/>
    <x v="3"/>
    <s v="South"/>
    <n v="4"/>
    <n v="150.18"/>
    <x v="4"/>
    <x v="445"/>
    <n v="374.43"/>
    <n v="196.25"/>
    <x v="2"/>
    <s v="OK"/>
    <s v="OK"/>
    <x v="201"/>
    <x v="9"/>
  </r>
  <r>
    <s v="ORD0326"/>
    <d v="2025-04-21T00:00:00"/>
    <x v="125"/>
    <x v="13"/>
    <x v="2"/>
    <s v="East"/>
    <n v="4"/>
    <n v="150.88"/>
    <x v="4"/>
    <x v="446"/>
    <n v="343.76"/>
    <n v="229.58"/>
    <x v="2"/>
    <s v="OK"/>
    <s v="OK"/>
    <x v="100"/>
    <x v="5"/>
  </r>
  <r>
    <s v="ORD0350"/>
    <d v="2025-01-11T00:00:00"/>
    <x v="68"/>
    <x v="14"/>
    <x v="3"/>
    <s v="West"/>
    <n v="5"/>
    <n v="130.63999999999999"/>
    <x v="3"/>
    <x v="447"/>
    <n v="493.71"/>
    <n v="94.17"/>
    <x v="0"/>
    <s v="OK"/>
    <s v="OK"/>
    <x v="268"/>
    <x v="2"/>
  </r>
  <r>
    <s v="ORD0308"/>
    <d v="2025-03-31T00:00:00"/>
    <x v="91"/>
    <x v="7"/>
    <x v="1"/>
    <s v="West"/>
    <n v="5"/>
    <n v="130.81"/>
    <x v="3"/>
    <x v="448"/>
    <n v="378.38"/>
    <n v="210.26"/>
    <x v="2"/>
    <s v="OK"/>
    <s v="OK"/>
    <x v="269"/>
    <x v="8"/>
  </r>
  <r>
    <s v="ORD0246"/>
    <d v="2025-05-02T00:00:00"/>
    <x v="63"/>
    <x v="15"/>
    <x v="3"/>
    <s v="South"/>
    <n v="5"/>
    <n v="124.27"/>
    <x v="4"/>
    <x v="449"/>
    <n v="326.91000000000003"/>
    <n v="263.37"/>
    <x v="2"/>
    <s v="OK"/>
    <s v="OK"/>
    <x v="270"/>
    <x v="4"/>
  </r>
  <r>
    <s v="ORD0257"/>
    <d v="2025-09-11T00:00:00"/>
    <x v="65"/>
    <x v="7"/>
    <x v="1"/>
    <s v="South"/>
    <n v="5"/>
    <n v="118.48"/>
    <x v="0"/>
    <x v="450"/>
    <n v="428.89"/>
    <n v="163.51"/>
    <x v="0"/>
    <s v="OK"/>
    <s v="OK"/>
    <x v="271"/>
    <x v="10"/>
  </r>
  <r>
    <s v="ORD0330"/>
    <d v="2025-08-24T00:00:00"/>
    <x v="137"/>
    <x v="5"/>
    <x v="3"/>
    <s v="West"/>
    <n v="4"/>
    <n v="174.77"/>
    <x v="1"/>
    <x v="451"/>
    <n v="418.25"/>
    <n v="175.97"/>
    <x v="0"/>
    <s v="OK"/>
    <s v="OK"/>
    <x v="96"/>
    <x v="1"/>
  </r>
  <r>
    <s v="ORD0341"/>
    <d v="2025-04-28T00:00:00"/>
    <x v="41"/>
    <x v="3"/>
    <x v="1"/>
    <s v="East"/>
    <n v="4"/>
    <n v="156.5"/>
    <x v="4"/>
    <x v="452"/>
    <n v="379.27"/>
    <n v="215.43"/>
    <x v="1"/>
    <s v="OK"/>
    <s v="OK"/>
    <x v="70"/>
    <x v="5"/>
  </r>
  <r>
    <s v="ORD0385"/>
    <d v="2025-11-19T00:00:00"/>
    <x v="12"/>
    <x v="7"/>
    <x v="1"/>
    <s v="North"/>
    <n v="5"/>
    <n v="133"/>
    <x v="3"/>
    <x v="453"/>
    <n v="392.48"/>
    <n v="206.02"/>
    <x v="0"/>
    <s v="OK"/>
    <s v="OK"/>
    <x v="164"/>
    <x v="7"/>
  </r>
  <r>
    <s v="ORD0012"/>
    <d v="2025-08-15T00:00:00"/>
    <x v="23"/>
    <x v="8"/>
    <x v="1"/>
    <s v="East"/>
    <n v="5"/>
    <n v="133.49"/>
    <x v="3"/>
    <x v="454"/>
    <n v="490.28"/>
    <n v="110.43"/>
    <x v="1"/>
    <s v="OK"/>
    <s v="OK"/>
    <x v="13"/>
    <x v="1"/>
  </r>
  <r>
    <s v="ORD0121"/>
    <d v="2025-08-14T00:00:00"/>
    <x v="41"/>
    <x v="3"/>
    <x v="1"/>
    <s v="West"/>
    <n v="4"/>
    <n v="150.87"/>
    <x v="0"/>
    <x v="455"/>
    <n v="472.01"/>
    <n v="131.47"/>
    <x v="1"/>
    <s v="OK"/>
    <s v="OK"/>
    <x v="178"/>
    <x v="1"/>
  </r>
  <r>
    <s v="ORD0423"/>
    <d v="2025-04-19T00:00:00"/>
    <x v="114"/>
    <x v="13"/>
    <x v="2"/>
    <s v="West"/>
    <n v="5"/>
    <n v="143.28"/>
    <x v="1"/>
    <x v="456"/>
    <n v="471.34"/>
    <n v="137.6"/>
    <x v="1"/>
    <s v="OK"/>
    <s v="OK"/>
    <x v="89"/>
    <x v="5"/>
  </r>
  <r>
    <s v="ORD0096"/>
    <d v="2025-10-13T00:00:00"/>
    <x v="50"/>
    <x v="12"/>
    <x v="2"/>
    <s v="North"/>
    <n v="4"/>
    <n v="152.79"/>
    <x v="0"/>
    <x v="457"/>
    <n v="481.95"/>
    <n v="129.21"/>
    <x v="0"/>
    <s v="OK"/>
    <s v="OK"/>
    <x v="241"/>
    <x v="3"/>
  </r>
  <r>
    <s v="ORD0307"/>
    <d v="2025-01-01T00:00:00"/>
    <x v="132"/>
    <x v="1"/>
    <x v="1"/>
    <s v="West"/>
    <n v="5"/>
    <n v="124.17"/>
    <x v="0"/>
    <x v="458"/>
    <n v="425.39"/>
    <n v="195.46"/>
    <x v="2"/>
    <s v="OK"/>
    <s v="OK"/>
    <x v="2"/>
    <x v="2"/>
  </r>
  <r>
    <s v="ORD0454"/>
    <d v="2025-09-26T00:00:00"/>
    <x v="102"/>
    <x v="3"/>
    <x v="1"/>
    <s v="East"/>
    <n v="5"/>
    <n v="155.58000000000001"/>
    <x v="2"/>
    <x v="459"/>
    <n v="387.36"/>
    <n v="234.96"/>
    <x v="2"/>
    <s v="OK"/>
    <s v="OK"/>
    <x v="257"/>
    <x v="10"/>
  </r>
  <r>
    <s v="ORD0134"/>
    <d v="2025-03-30T00:00:00"/>
    <x v="25"/>
    <x v="7"/>
    <x v="1"/>
    <s v="East"/>
    <n v="5"/>
    <n v="138.55000000000001"/>
    <x v="3"/>
    <x v="460"/>
    <n v="462.1"/>
    <n v="161.38"/>
    <x v="1"/>
    <s v="OK"/>
    <s v="OK"/>
    <x v="272"/>
    <x v="8"/>
  </r>
  <r>
    <s v="ORD0276"/>
    <d v="2025-10-11T00:00:00"/>
    <x v="48"/>
    <x v="13"/>
    <x v="2"/>
    <s v="North"/>
    <n v="4"/>
    <n v="157.74"/>
    <x v="0"/>
    <x v="461"/>
    <n v="432.44"/>
    <n v="198.52"/>
    <x v="1"/>
    <s v="OK"/>
    <s v="OK"/>
    <x v="3"/>
    <x v="3"/>
  </r>
  <r>
    <s v="ORD0075"/>
    <s v="2025/13/05"/>
    <x v="44"/>
    <x v="3"/>
    <x v="1"/>
    <s v="North"/>
    <n v="4"/>
    <n v="176.64"/>
    <x v="3"/>
    <x v="462"/>
    <n v="471.2"/>
    <n v="164.7"/>
    <x v="1"/>
    <s v="OK"/>
    <s v="OK"/>
    <x v="273"/>
    <x v="12"/>
  </r>
  <r>
    <s v="ORD0141"/>
    <d v="2025-03-06T00:00:00"/>
    <x v="46"/>
    <x v="13"/>
    <x v="2"/>
    <s v="East"/>
    <n v="4"/>
    <n v="177.26"/>
    <x v="3"/>
    <x v="463"/>
    <n v="430.96"/>
    <n v="207.18"/>
    <x v="0"/>
    <s v="OK"/>
    <s v="OK"/>
    <x v="103"/>
    <x v="8"/>
  </r>
  <r>
    <s v="ORD0038"/>
    <d v="2025-06-02T00:00:00"/>
    <x v="51"/>
    <x v="13"/>
    <x v="2"/>
    <s v="South"/>
    <n v="4"/>
    <n v="160.5"/>
    <x v="0"/>
    <x v="464"/>
    <n v="464.59"/>
    <n v="177.41"/>
    <x v="1"/>
    <s v="OK"/>
    <s v="OK"/>
    <x v="181"/>
    <x v="11"/>
  </r>
  <r>
    <s v="ORD0371"/>
    <d v="2025-11-28T00:00:00"/>
    <x v="21"/>
    <x v="2"/>
    <x v="2"/>
    <s v="North"/>
    <n v="4"/>
    <n v="179.11"/>
    <x v="3"/>
    <x v="465"/>
    <n v="544.42999999999995"/>
    <n v="100.37"/>
    <x v="1"/>
    <s v="OK"/>
    <s v="OK"/>
    <x v="274"/>
    <x v="7"/>
  </r>
  <r>
    <s v="ORD0344"/>
    <d v="2025-02-28T00:00:00"/>
    <x v="112"/>
    <x v="15"/>
    <x v="3"/>
    <s v="South"/>
    <n v="5"/>
    <n v="146.28"/>
    <x v="3"/>
    <x v="466"/>
    <n v="464.77"/>
    <n v="193.49"/>
    <x v="2"/>
    <s v="OK"/>
    <s v="OK"/>
    <x v="61"/>
    <x v="9"/>
  </r>
  <r>
    <s v="ORD0062"/>
    <d v="2025-04-27T00:00:00"/>
    <x v="133"/>
    <x v="1"/>
    <x v="1"/>
    <s v="South"/>
    <n v="4"/>
    <n v="173.49"/>
    <x v="4"/>
    <x v="467"/>
    <n v="419.1"/>
    <n v="240.16"/>
    <x v="1"/>
    <s v="OK"/>
    <s v="OK"/>
    <x v="144"/>
    <x v="5"/>
  </r>
  <r>
    <s v="ORD0166"/>
    <d v="2025-08-10T00:00:00"/>
    <x v="68"/>
    <x v="12"/>
    <x v="2"/>
    <s v="South"/>
    <n v="5"/>
    <n v="164.84"/>
    <x v="2"/>
    <x v="468"/>
    <n v="399.33"/>
    <n v="260.02999999999997"/>
    <x v="1"/>
    <s v="OK"/>
    <s v="OK"/>
    <x v="275"/>
    <x v="1"/>
  </r>
  <r>
    <s v="ORD0136"/>
    <d v="2025-08-03T00:00:00"/>
    <x v="76"/>
    <x v="8"/>
    <x v="1"/>
    <s v="East"/>
    <n v="5"/>
    <n v="133.74"/>
    <x v="0"/>
    <x v="469"/>
    <n v="390.91"/>
    <n v="277.79000000000002"/>
    <x v="1"/>
    <s v="OK"/>
    <s v="OK"/>
    <x v="167"/>
    <x v="1"/>
  </r>
  <r>
    <s v="ORD0324"/>
    <d v="2025-12-08T00:00:00"/>
    <x v="41"/>
    <x v="12"/>
    <x v="2"/>
    <s v="East"/>
    <n v="4"/>
    <n v="176.58"/>
    <x v="4"/>
    <x v="470"/>
    <n v="476.19"/>
    <n v="194.81"/>
    <x v="2"/>
    <s v="OK"/>
    <s v="OK"/>
    <x v="276"/>
    <x v="0"/>
  </r>
  <r>
    <s v="ORD0056"/>
    <d v="2025-05-13T00:00:00"/>
    <x v="161"/>
    <x v="4"/>
    <x v="0"/>
    <s v="East"/>
    <n v="5"/>
    <n v="168.12"/>
    <x v="2"/>
    <x v="471"/>
    <n v="570.79"/>
    <n v="101.69"/>
    <x v="1"/>
    <s v="OK"/>
    <s v="OK"/>
    <x v="170"/>
    <x v="4"/>
  </r>
  <r>
    <s v="ORD0323"/>
    <d v="2025-05-06T00:00:00"/>
    <x v="126"/>
    <x v="8"/>
    <x v="1"/>
    <s v="North"/>
    <n v="4"/>
    <n v="179.12"/>
    <x v="4"/>
    <x v="472"/>
    <n v="392.37"/>
    <n v="288.29000000000002"/>
    <x v="1"/>
    <s v="OK"/>
    <s v="OK"/>
    <x v="43"/>
    <x v="4"/>
  </r>
  <r>
    <s v="ORD0259"/>
    <d v="2025-12-16T00:00:00"/>
    <x v="102"/>
    <x v="5"/>
    <x v="3"/>
    <s v="East"/>
    <n v="5"/>
    <n v="143.63999999999999"/>
    <x v="4"/>
    <x v="473"/>
    <n v="465.36"/>
    <n v="216.93"/>
    <x v="0"/>
    <s v="OK"/>
    <s v="OK"/>
    <x v="0"/>
    <x v="0"/>
  </r>
  <r>
    <s v="ORD0451"/>
    <d v="2025-06-25T00:00:00"/>
    <x v="133"/>
    <x v="11"/>
    <x v="3"/>
    <s v="North"/>
    <n v="5"/>
    <n v="160.82"/>
    <x v="1"/>
    <x v="474"/>
    <n v="505.1"/>
    <n v="178.38"/>
    <x v="1"/>
    <s v="OK"/>
    <s v="OK"/>
    <x v="114"/>
    <x v="11"/>
  </r>
  <r>
    <s v="ORD0153"/>
    <d v="2025-07-07T00:00:00"/>
    <x v="85"/>
    <x v="13"/>
    <x v="2"/>
    <s v="North"/>
    <n v="5"/>
    <n v="151.97"/>
    <x v="3"/>
    <x v="475"/>
    <n v="515.66"/>
    <n v="168.2"/>
    <x v="1"/>
    <s v="OK"/>
    <s v="OK"/>
    <x v="277"/>
    <x v="6"/>
  </r>
  <r>
    <s v="ORD0179"/>
    <d v="2025-06-01T00:00:00"/>
    <x v="162"/>
    <x v="8"/>
    <x v="1"/>
    <s v="North"/>
    <n v="5"/>
    <n v="153.55000000000001"/>
    <x v="3"/>
    <x v="476"/>
    <n v="532.47"/>
    <n v="158.51"/>
    <x v="0"/>
    <s v="OK"/>
    <s v="OK"/>
    <x v="142"/>
    <x v="11"/>
  </r>
  <r>
    <s v="ORD0095"/>
    <d v="2025-03-17T00:00:00"/>
    <x v="50"/>
    <x v="6"/>
    <x v="0"/>
    <s v="North"/>
    <n v="4"/>
    <n v="173.98"/>
    <x v="0"/>
    <x v="477"/>
    <n v="535.34"/>
    <n v="160.58000000000001"/>
    <x v="1"/>
    <s v="OK"/>
    <s v="OK"/>
    <x v="148"/>
    <x v="8"/>
  </r>
  <r>
    <s v="ORD0486"/>
    <d v="2025-04-26T00:00:00"/>
    <x v="35"/>
    <x v="4"/>
    <x v="0"/>
    <s v="North"/>
    <n v="5"/>
    <n v="139.22"/>
    <x v="0"/>
    <x v="478"/>
    <n v="517.88"/>
    <n v="178.22"/>
    <x v="1"/>
    <s v="OK"/>
    <s v="OK"/>
    <x v="45"/>
    <x v="5"/>
  </r>
  <r>
    <s v="ORD0388"/>
    <d v="2025-12-09T00:00:00"/>
    <x v="36"/>
    <x v="8"/>
    <x v="1"/>
    <s v="South"/>
    <n v="4"/>
    <n v="174.3"/>
    <x v="0"/>
    <x v="479"/>
    <n v="522.14"/>
    <n v="175.06"/>
    <x v="1"/>
    <s v="OK"/>
    <s v="OK"/>
    <x v="196"/>
    <x v="0"/>
  </r>
  <r>
    <s v="ORD0357"/>
    <s v="not_available"/>
    <x v="93"/>
    <x v="11"/>
    <x v="3"/>
    <s v="East"/>
    <n v="5"/>
    <n v="164.7"/>
    <x v="1"/>
    <x v="480"/>
    <n v="533.96"/>
    <n v="166.02"/>
    <x v="1"/>
    <s v="OK"/>
    <s v="OK"/>
    <x v="273"/>
    <x v="12"/>
  </r>
  <r>
    <s v="ORD0459"/>
    <d v="2025-06-19T00:00:00"/>
    <x v="44"/>
    <x v="3"/>
    <x v="1"/>
    <s v="North"/>
    <n v="5"/>
    <n v="179.25"/>
    <x v="2"/>
    <x v="481"/>
    <n v="534.05999999999995"/>
    <n v="182.94"/>
    <x v="1"/>
    <s v="OK"/>
    <s v="OK"/>
    <x v="88"/>
    <x v="11"/>
  </r>
  <r>
    <s v="ORD0227"/>
    <d v="2025-02-12T00:00:00"/>
    <x v="22"/>
    <x v="12"/>
    <x v="2"/>
    <s v="West"/>
    <n v="5"/>
    <n v="169.07"/>
    <x v="1"/>
    <x v="482"/>
    <n v="455.08"/>
    <n v="263.47000000000003"/>
    <x v="2"/>
    <s v="OK"/>
    <s v="OK"/>
    <x v="278"/>
    <x v="9"/>
  </r>
  <r>
    <s v="ORD0191"/>
    <d v="2025-10-21T00:00:00"/>
    <x v="90"/>
    <x v="6"/>
    <x v="0"/>
    <s v="East"/>
    <n v="5"/>
    <n v="157.28"/>
    <x v="4"/>
    <x v="483"/>
    <n v="526.45000000000005"/>
    <n v="220.63"/>
    <x v="1"/>
    <s v="OK"/>
    <s v="OK"/>
    <x v="124"/>
    <x v="3"/>
  </r>
  <r>
    <s v="ORD0145"/>
    <d v="2025-08-06T00:00:00"/>
    <x v="15"/>
    <x v="4"/>
    <x v="0"/>
    <s v="North"/>
    <n v="5"/>
    <n v="150.87"/>
    <x v="0"/>
    <x v="484"/>
    <n v="425.52"/>
    <n v="328.83"/>
    <x v="1"/>
    <s v="OK"/>
    <s v="OK"/>
    <x v="1"/>
    <x v="1"/>
  </r>
  <r>
    <s v="ORD0327"/>
    <d v="2025-06-01T00:00:00"/>
    <x v="163"/>
    <x v="2"/>
    <x v="2"/>
    <s v="North"/>
    <n v="5"/>
    <n v="178.94"/>
    <x v="1"/>
    <x v="485"/>
    <n v="560.51"/>
    <n v="199.99"/>
    <x v="1"/>
    <s v="OK"/>
    <s v="OK"/>
    <x v="142"/>
    <x v="11"/>
  </r>
  <r>
    <s v="ORD0297"/>
    <d v="2025-03-05T00:00:00"/>
    <x v="162"/>
    <x v="10"/>
    <x v="0"/>
    <s v="North"/>
    <n v="5"/>
    <n v="152.16"/>
    <x v="0"/>
    <x v="486"/>
    <n v="516.4"/>
    <n v="244.4"/>
    <x v="1"/>
    <s v="OK"/>
    <s v="OK"/>
    <x v="279"/>
    <x v="8"/>
  </r>
  <r>
    <s v="ORD0050"/>
    <d v="2025-07-15T00:00:00"/>
    <x v="36"/>
    <x v="6"/>
    <x v="0"/>
    <s v="North"/>
    <n v="5"/>
    <n v="153.32"/>
    <x v="0"/>
    <x v="487"/>
    <n v="608.94000000000005"/>
    <n v="157.66"/>
    <x v="1"/>
    <s v="OK"/>
    <s v="OK"/>
    <x v="280"/>
    <x v="6"/>
  </r>
  <r>
    <s v="ORD0410"/>
    <d v="2025-09-05T00:00:00"/>
    <x v="89"/>
    <x v="6"/>
    <x v="0"/>
    <s v="West"/>
    <n v="5"/>
    <n v="170.49"/>
    <x v="3"/>
    <x v="488"/>
    <n v="625.19000000000005"/>
    <n v="142.01"/>
    <x v="1"/>
    <s v="OK"/>
    <s v="OK"/>
    <x v="183"/>
    <x v="10"/>
  </r>
  <r>
    <s v="ORD0466"/>
    <d v="2025-06-28T00:00:00"/>
    <x v="119"/>
    <x v="14"/>
    <x v="3"/>
    <s v="South"/>
    <n v="5"/>
    <n v="175.9"/>
    <x v="3"/>
    <x v="489"/>
    <n v="524.51"/>
    <n v="267.04000000000002"/>
    <x v="1"/>
    <s v="OK"/>
    <s v="OK"/>
    <x v="281"/>
    <x v="11"/>
  </r>
  <r>
    <s v="ORD0071"/>
    <d v="2025-07-21T00:00:00"/>
    <x v="94"/>
    <x v="0"/>
    <x v="0"/>
    <s v="North"/>
    <n v="5"/>
    <n v="179.42"/>
    <x v="3"/>
    <x v="490"/>
    <n v="630.33000000000004"/>
    <n v="177.06"/>
    <x v="2"/>
    <s v="OK"/>
    <s v="OK"/>
    <x v="263"/>
    <x v="6"/>
  </r>
  <r>
    <s v="ORD0347"/>
    <d v="2025-03-06T00:00:00"/>
    <x v="79"/>
    <x v="13"/>
    <x v="2"/>
    <s v="East"/>
    <n v="5"/>
    <n v="169.76"/>
    <x v="0"/>
    <x v="491"/>
    <n v="703.88"/>
    <n v="144.91999999999999"/>
    <x v="1"/>
    <s v="OK"/>
    <s v="OK"/>
    <x v="103"/>
    <x v="8"/>
  </r>
  <r>
    <s v="ORD0236"/>
    <d v="2025-05-09T00:00:00"/>
    <x v="22"/>
    <x v="5"/>
    <x v="3"/>
    <s v="West"/>
    <n v="5"/>
    <n v="172.47"/>
    <x v="0"/>
    <x v="492"/>
    <n v="500.72"/>
    <n v="361.63"/>
    <x v="1"/>
    <s v="OK"/>
    <s v="OK"/>
    <x v="37"/>
    <x v="4"/>
  </r>
  <r>
    <s v="ORD0193"/>
    <d v="2025-04-24T00:00:00"/>
    <x v="126"/>
    <x v="13"/>
    <x v="2"/>
    <s v="South"/>
    <n v="5"/>
    <n v="173.7"/>
    <x v="0"/>
    <x v="493"/>
    <n v="650.05999999999995"/>
    <n v="218.44"/>
    <x v="1"/>
    <s v="OK"/>
    <s v="OK"/>
    <x v="95"/>
    <x v="5"/>
  </r>
  <r>
    <s v="ORD0334"/>
    <d v="2025-01-22T00:00:00"/>
    <x v="60"/>
    <x v="1"/>
    <x v="1"/>
    <s v="South"/>
    <n v="5"/>
    <n v="175.1"/>
    <x v="0"/>
    <x v="494"/>
    <n v="674.32"/>
    <n v="201.18"/>
    <x v="1"/>
    <s v="OK"/>
    <s v="OK"/>
    <x v="76"/>
    <x v="2"/>
  </r>
  <r>
    <s v="ORD0270"/>
    <d v="2025-11-01T00:00:00"/>
    <x v="2"/>
    <x v="11"/>
    <x v="3"/>
    <s v="East"/>
    <n v="5"/>
    <n v="176.78"/>
    <x v="0"/>
    <x v="495"/>
    <n v="659.61"/>
    <n v="224.29"/>
    <x v="1"/>
    <s v="OK"/>
    <s v="OK"/>
    <x v="135"/>
    <x v="7"/>
  </r>
  <r>
    <s v="ORD0151"/>
    <d v="2025-04-25T00:00:00"/>
    <x v="155"/>
    <x v="10"/>
    <x v="0"/>
    <s v="West"/>
    <n v="5"/>
    <n v="178.53"/>
    <x v="0"/>
    <x v="496"/>
    <n v="727.4"/>
    <n v="165.25"/>
    <x v="2"/>
    <s v="OK"/>
    <s v="OK"/>
    <x v="55"/>
    <x v="5"/>
  </r>
</pivotCacheRecords>
</file>

<file path=xl/pivotCache/pivotCacheRecords2.xml><?xml version="1.0" encoding="utf-8"?>
<pivotCacheRecords xmlns="http://schemas.openxmlformats.org/spreadsheetml/2006/main" xmlns:r="http://schemas.openxmlformats.org/officeDocument/2006/relationships" count="502">
  <r>
    <s v="ORD0088"/>
    <d v="2025-12-16T00:00:00"/>
    <s v="CUST0075"/>
    <s v="Wireless Mouse"/>
    <s v="Electronics"/>
    <x v="0"/>
    <n v="1"/>
    <n v="9.3000000000000007"/>
    <n v="0"/>
    <n v="9.3000000000000007"/>
    <n v="6.13"/>
    <n v="3.17"/>
    <s v="Returned"/>
    <s v="OK"/>
    <s v="OK"/>
  </r>
  <r>
    <s v="ORD0088"/>
    <d v="2025-12-16T00:00:00"/>
    <s v="CUST0075"/>
    <s v="Wireless Mouse"/>
    <s v="Electronics"/>
    <x v="0"/>
    <n v="1"/>
    <n v="9.3000000000000007"/>
    <n v="0"/>
    <n v="9.3000000000000007"/>
    <n v="6.13"/>
    <n v="3.17"/>
    <s v="Returned"/>
    <s v="OK"/>
    <s v="OK"/>
  </r>
  <r>
    <s v="ORD0212"/>
    <d v="2025-08-06T00:00:00"/>
    <s v="CUST0102"/>
    <s v="Backpack"/>
    <s v="Accessories"/>
    <x v="0"/>
    <n v="1"/>
    <n v="10.72"/>
    <n v="0"/>
    <n v="10.72"/>
    <n v="8.5299999999999994"/>
    <n v="2.19"/>
    <s v="Returned"/>
    <s v="OK"/>
    <s v="OK"/>
  </r>
  <r>
    <s v="ORD0194"/>
    <d v="2025-01-01T00:00:00"/>
    <s v="CUST0147"/>
    <s v="Planner"/>
    <s v="Stationery"/>
    <x v="1"/>
    <n v="1"/>
    <n v="13.23"/>
    <n v="0.15"/>
    <n v="11.25"/>
    <n v="8.51"/>
    <n v="2.74"/>
    <s v="Completed"/>
    <s v="OK"/>
    <s v="OK"/>
  </r>
  <r>
    <s v="ORD0054"/>
    <d v="2025-10-11T00:00:00"/>
    <s v="CUST0128"/>
    <s v="Laptop Sleeve"/>
    <s v="Accessories"/>
    <x v="2"/>
    <n v="1"/>
    <n v="17.2"/>
    <n v="0.2"/>
    <n v="13.76"/>
    <n v="11.07"/>
    <n v="2.69"/>
    <s v="Completed"/>
    <s v="OK"/>
    <s v="OK"/>
  </r>
  <r>
    <s v="ORD0296"/>
    <d v="2025-05-05T00:00:00"/>
    <s v="CUST0110"/>
    <s v="Headphones"/>
    <s v="Electronics"/>
    <x v="0"/>
    <n v="1"/>
    <n v="16.28"/>
    <n v="0.15"/>
    <n v="13.84"/>
    <n v="11.15"/>
    <n v="2.69"/>
    <s v="Completed"/>
    <s v="OK"/>
    <s v="OK"/>
  </r>
  <r>
    <s v="ORD0411"/>
    <d v="2025-05-17T00:00:00"/>
    <s v="CUST0164"/>
    <s v="Storage Box"/>
    <s v="Home"/>
    <x v="1"/>
    <n v="1"/>
    <n v="16.68"/>
    <n v="0.1"/>
    <n v="15.01"/>
    <n v="9.99"/>
    <n v="5.0199999999999996"/>
    <s v="Completed"/>
    <s v="OK"/>
    <s v="OK"/>
  </r>
  <r>
    <s v="ORD0173"/>
    <d v="2025-12-14T00:00:00"/>
    <s v="CUST0062"/>
    <s v="Keyboard"/>
    <s v="Electronics"/>
    <x v="2"/>
    <n v="1"/>
    <n v="16.940000000000001"/>
    <n v="0.05"/>
    <n v="16.09"/>
    <n v="12.27"/>
    <n v="3.82"/>
    <s v="Completed"/>
    <s v="OK"/>
    <s v="OK"/>
  </r>
  <r>
    <s v="ORD0315"/>
    <d v="2025-04-09T00:00:00"/>
    <s v="CUST0173"/>
    <s v="Backpack"/>
    <s v="Accessories"/>
    <x v="1"/>
    <n v="1"/>
    <n v="19.59"/>
    <n v="0.05"/>
    <n v="18.61"/>
    <n v="14.99"/>
    <n v="3.62"/>
    <s v="Returned"/>
    <s v="OK"/>
    <s v="OK"/>
  </r>
  <r>
    <s v="ORD0495"/>
    <d v="2025-07-27T00:00:00"/>
    <s v="CUST0114"/>
    <s v="Cable Organizer"/>
    <s v="Accessories"/>
    <x v="2"/>
    <n v="1"/>
    <n v="23.31"/>
    <n v="0.2"/>
    <n v="18.649999999999999"/>
    <n v="13.28"/>
    <n v="5.37"/>
    <s v="Returned"/>
    <s v="OK"/>
    <s v="OK"/>
  </r>
  <r>
    <s v="ORD0119"/>
    <d v="2025-04-22T00:00:00"/>
    <s v="CUST0125"/>
    <s v="Cable Organizer"/>
    <s v="Accessories"/>
    <x v="1"/>
    <n v="2"/>
    <n v="10.24"/>
    <n v="0"/>
    <n v="20.48"/>
    <n v="12.54"/>
    <n v="7.94"/>
    <s v="Completed"/>
    <s v="OK"/>
    <s v="OK"/>
  </r>
  <r>
    <s v="ORD0089"/>
    <d v="2025-08-11T00:00:00"/>
    <s v="CUST0006"/>
    <s v="Storage Box"/>
    <s v="Home"/>
    <x v="0"/>
    <n v="1"/>
    <n v="21.8"/>
    <n v="0.05"/>
    <n v="20.71"/>
    <n v="13.94"/>
    <n v="6.77"/>
    <s v="Returned"/>
    <s v="OK"/>
    <s v="OK"/>
  </r>
  <r>
    <s v="ORD0351"/>
    <d v="2025-04-11T00:00:00"/>
    <s v="CUST0048"/>
    <s v="Backpack"/>
    <s v="Accessories"/>
    <x v="1"/>
    <n v="1"/>
    <n v="26.12"/>
    <n v="0.1"/>
    <n v="23.51"/>
    <n v="17.47"/>
    <n v="6.04"/>
    <s v="Completed"/>
    <s v="OK"/>
    <s v="OK"/>
  </r>
  <r>
    <s v="ORD0072"/>
    <d v="2025-10-15T00:00:00"/>
    <s v="CUST0034"/>
    <s v="Keyboard"/>
    <s v="Electronics"/>
    <x v="2"/>
    <n v="1"/>
    <n v="30.22"/>
    <n v="0.2"/>
    <n v="24.18"/>
    <n v="17.7"/>
    <n v="6.48"/>
    <s v="Completed"/>
    <s v="OK"/>
    <s v="OK"/>
  </r>
  <r>
    <s v="ORD0277"/>
    <d v="2025-08-15T00:00:00"/>
    <s v="CUST0006"/>
    <s v="Phone Stand"/>
    <s v="Accessories"/>
    <x v="1"/>
    <n v="1"/>
    <n v="24.19"/>
    <n v="0"/>
    <n v="24.19"/>
    <n v="15.35"/>
    <n v="8.84"/>
    <s v="Completed"/>
    <s v="OK"/>
    <s v="OK"/>
  </r>
  <r>
    <s v="ORD0202"/>
    <d v="2025-10-19T00:00:00"/>
    <s v="CUST0051"/>
    <s v="Wireless Mouse"/>
    <s v="Electronics"/>
    <x v="1"/>
    <n v="3"/>
    <n v="9.3000000000000007"/>
    <n v="0.1"/>
    <n v="25.11"/>
    <n v="20.58"/>
    <n v="4.53"/>
    <s v="Completed"/>
    <s v="OK"/>
    <s v="OK"/>
  </r>
  <r>
    <s v="ORD0133"/>
    <d v="2025-11-14T00:00:00"/>
    <s v="CUST0080"/>
    <s v="Laptop Sleeve"/>
    <s v="Accessories"/>
    <x v="2"/>
    <n v="1"/>
    <n v="31.53"/>
    <n v="0.2"/>
    <n v="25.22"/>
    <n v="17.25"/>
    <n v="7.97"/>
    <s v="Returned"/>
    <s v="OK"/>
    <s v="OK"/>
  </r>
  <r>
    <s v="ORD0370"/>
    <d v="2025-03-11T00:00:00"/>
    <s v="CUST0169"/>
    <s v="Cable Organizer"/>
    <s v="Accessories"/>
    <x v="2"/>
    <n v="1"/>
    <n v="31.56"/>
    <n v="0.2"/>
    <n v="25.25"/>
    <n v="17.88"/>
    <n v="7.37"/>
    <s v="Returned"/>
    <s v="OK"/>
    <s v="OK"/>
  </r>
  <r>
    <s v="ORD0320"/>
    <d v="2025-03-08T00:00:00"/>
    <m/>
    <s v="Pen Set"/>
    <s v="Stationery"/>
    <x v="3"/>
    <n v="1"/>
    <n v="26.1"/>
    <n v="0"/>
    <n v="26.1"/>
    <n v="21.97"/>
    <n v="4.13"/>
    <s v="Completed"/>
    <s v="OK"/>
    <s v="OK"/>
  </r>
  <r>
    <s v="ORD0018"/>
    <d v="2025-08-13T00:00:00"/>
    <s v="CUST0051"/>
    <s v="Wireless Mouse"/>
    <s v="Electronics"/>
    <x v="0"/>
    <n v="3"/>
    <n v="9.1999999999999993"/>
    <n v="0.05"/>
    <n v="26.22"/>
    <n v="17.7"/>
    <n v="8.52"/>
    <s v="Cancelled"/>
    <s v="OK"/>
    <s v="OK"/>
  </r>
  <r>
    <s v="ORD0182"/>
    <d v="2025-01-14T00:00:00"/>
    <s v="CUST0078"/>
    <s v="Headphones"/>
    <s v="Electronics"/>
    <x v="0"/>
    <n v="1"/>
    <n v="30.63"/>
    <n v="0.1"/>
    <n v="27.57"/>
    <n v="22.68"/>
    <n v="4.8899999999999997"/>
    <s v="Completed"/>
    <s v="OK"/>
    <s v="OK"/>
  </r>
  <r>
    <s v="ORD0482"/>
    <d v="2025-07-24T00:00:00"/>
    <s v="CUST0081"/>
    <s v="Phone Stand"/>
    <s v="Accessories"/>
    <x v="0"/>
    <n v="4"/>
    <n v="8.11"/>
    <n v="0.15"/>
    <n v="27.57"/>
    <n v="21.72"/>
    <n v="5.85"/>
    <s v="Returned"/>
    <s v="OK"/>
    <s v="OK"/>
  </r>
  <r>
    <s v="ORD0333"/>
    <d v="2025-03-04T00:00:00"/>
    <s v="CUST0038"/>
    <s v="USB Hub"/>
    <s v="Electronics"/>
    <x v="1"/>
    <n v="4"/>
    <n v="8.5399999999999991"/>
    <n v="0.1"/>
    <n v="30.74"/>
    <n v="19.66"/>
    <n v="11.08"/>
    <s v="Completed"/>
    <s v="OK"/>
    <s v="OK"/>
  </r>
  <r>
    <s v="ORD0112"/>
    <d v="2025-03-04T00:00:00"/>
    <s v="CUST0104"/>
    <s v="Desk Lamp"/>
    <s v="Home"/>
    <x v="3"/>
    <n v="1"/>
    <n v="38.619999999999997"/>
    <n v="0.2"/>
    <n v="30.9"/>
    <n v="18.37"/>
    <n v="12.53"/>
    <s v="Returned"/>
    <s v="OK"/>
    <s v="OK"/>
  </r>
  <r>
    <s v="ORD0023"/>
    <d v="2025-05-28T00:00:00"/>
    <s v="CUST0164"/>
    <s v="Sticky Notes"/>
    <s v="Stationery"/>
    <x v="1"/>
    <n v="1"/>
    <n v="33.92"/>
    <n v="0.05"/>
    <n v="32.22"/>
    <n v="24.45"/>
    <n v="7.77"/>
    <s v="Completed"/>
    <s v="OK"/>
    <s v="OK"/>
  </r>
  <r>
    <s v="ORD0381"/>
    <d v="2025-03-09T00:00:00"/>
    <s v="CUST0139"/>
    <s v="Keyboard"/>
    <s v="Electronics"/>
    <x v="2"/>
    <n v="1"/>
    <n v="38.14"/>
    <n v="0.15"/>
    <n v="32.42"/>
    <n v="20.58"/>
    <n v="11.84"/>
    <s v="Cancelled"/>
    <s v="OK"/>
    <s v="OK"/>
  </r>
  <r>
    <s v="ORD0161"/>
    <d v="2025-10-15T00:00:00"/>
    <s v="CUST0130"/>
    <s v="Backpack"/>
    <s v="Accessories"/>
    <x v="1"/>
    <n v="1"/>
    <n v="36.14"/>
    <n v="0.1"/>
    <n v="32.53"/>
    <n v="24.66"/>
    <n v="7.87"/>
    <s v="Returned"/>
    <s v="OK"/>
    <s v="OK"/>
  </r>
  <r>
    <s v="ORD0132"/>
    <d v="2025-10-02T00:00:00"/>
    <s v="CUST0101"/>
    <s v="Phone Stand"/>
    <s v="Accessories"/>
    <x v="2"/>
    <n v="5"/>
    <n v="8.4"/>
    <n v="0.2"/>
    <n v="33.6"/>
    <n v="18.53"/>
    <n v="15.07"/>
    <s v="Returned"/>
    <s v="OK"/>
    <s v="OK"/>
  </r>
  <r>
    <s v="ORD0377"/>
    <d v="2025-02-03T00:00:00"/>
    <s v="CUST0129"/>
    <s v="Cable Organizer"/>
    <s v="Accessories"/>
    <x v="2"/>
    <n v="5"/>
    <n v="8.08"/>
    <n v="0.15"/>
    <n v="34.340000000000003"/>
    <n v="20.47"/>
    <n v="13.87"/>
    <s v="Completed"/>
    <s v="OK"/>
    <s v="OK"/>
  </r>
  <r>
    <s v="ORD0175"/>
    <d v="2025-03-28T00:00:00"/>
    <s v="CUST0012"/>
    <s v="Laptop Sleeve"/>
    <s v="Accessories"/>
    <x v="3"/>
    <n v="1"/>
    <n v="36.21"/>
    <n v="0.05"/>
    <n v="34.4"/>
    <n v="26.4"/>
    <n v="8"/>
    <s v="Returned"/>
    <s v="OK"/>
    <s v="OK"/>
  </r>
  <r>
    <s v="ORD0399"/>
    <d v="2025-11-09T00:00:00"/>
    <s v="CUST0072"/>
    <s v="Phone Stand"/>
    <s v="Accessories"/>
    <x v="1"/>
    <n v="1"/>
    <n v="35.049999999999997"/>
    <n v="0"/>
    <n v="35.049999999999997"/>
    <n v="22.33"/>
    <n v="12.72"/>
    <s v="Completed"/>
    <s v="OK"/>
    <s v="OK"/>
  </r>
  <r>
    <s v="ORD0217"/>
    <d v="2025-05-25T00:00:00"/>
    <s v="CUST0144"/>
    <s v="Laptop Sleeve"/>
    <s v="Accessories"/>
    <x v="2"/>
    <n v="1"/>
    <n v="37.32"/>
    <n v="0.05"/>
    <n v="35.450000000000003"/>
    <n v="23.99"/>
    <n v="11.46"/>
    <s v="Returned"/>
    <s v="OK"/>
    <s v="OK"/>
  </r>
  <r>
    <s v="ORD0082"/>
    <d v="2025-09-10T00:00:00"/>
    <s v="CUST0180"/>
    <s v="Laptop Sleeve"/>
    <s v="Accessories"/>
    <x v="1"/>
    <n v="5"/>
    <n v="8.4499999999999993"/>
    <n v="0.15"/>
    <n v="35.909999999999997"/>
    <n v="20.66"/>
    <n v="15.25"/>
    <s v="Completed"/>
    <s v="OK"/>
    <s v="OK"/>
  </r>
  <r>
    <s v="ORD0032"/>
    <d v="2025-07-11T00:00:00"/>
    <s v="CUST0049"/>
    <s v="Cable Organizer"/>
    <s v="Accessories"/>
    <x v="2"/>
    <n v="1"/>
    <n v="41.58"/>
    <n v="0.1"/>
    <n v="37.42"/>
    <n v="23.73"/>
    <n v="13.69"/>
    <s v="Completed"/>
    <s v="OK"/>
    <s v="OK"/>
  </r>
  <r>
    <s v="ORD0340"/>
    <d v="2025-11-18T00:00:00"/>
    <s v="CUST0013"/>
    <s v="Laptop Sleeve"/>
    <s v="Accessories"/>
    <x v="2"/>
    <n v="2"/>
    <n v="21.22"/>
    <n v="0.05"/>
    <n v="40.32"/>
    <n v="31.79"/>
    <n v="8.5299999999999994"/>
    <s v="Returned"/>
    <s v="OK"/>
    <s v="OK"/>
  </r>
  <r>
    <s v="ORD0375"/>
    <d v="2025-09-12T00:00:00"/>
    <s v="CUST0171"/>
    <s v="Desk Lamp"/>
    <s v="Home"/>
    <x v="3"/>
    <n v="4"/>
    <n v="10.08"/>
    <n v="0"/>
    <n v="40.32"/>
    <n v="26.49"/>
    <n v="13.83"/>
    <s v="Returned"/>
    <s v="OK"/>
    <s v="OK"/>
  </r>
  <r>
    <s v="ORD0415"/>
    <d v="2025-10-26T00:00:00"/>
    <s v="CUST0176"/>
    <s v="Wireless Mouse"/>
    <s v="Electronics"/>
    <x v="0"/>
    <n v="4"/>
    <n v="10.36"/>
    <n v="0"/>
    <n v="41.44"/>
    <n v="25.46"/>
    <n v="15.98"/>
    <s v="Cancelled"/>
    <s v="OK"/>
    <s v="OK"/>
  </r>
  <r>
    <s v="ORD0025"/>
    <d v="2025-05-24T00:00:00"/>
    <s v="CUST0090"/>
    <s v="Notebook"/>
    <s v="Stationery"/>
    <x v="2"/>
    <n v="1"/>
    <n v="43.96"/>
    <n v="0.05"/>
    <n v="41.76"/>
    <n v="31.68"/>
    <n v="10.08"/>
    <s v="Returned"/>
    <s v="OK"/>
    <s v="OK"/>
  </r>
  <r>
    <s v="ORD0094"/>
    <d v="2025-04-04T00:00:00"/>
    <s v="CUST0095"/>
    <s v="Notebook"/>
    <s v="Stationery"/>
    <x v="3"/>
    <n v="5"/>
    <n v="8.4700000000000006"/>
    <n v="0"/>
    <n v="42.35"/>
    <n v="29.3"/>
    <n v="13.05"/>
    <s v="Completed"/>
    <s v="OK"/>
    <s v="OK"/>
  </r>
  <r>
    <s v="ORD0275"/>
    <d v="2025-08-02T00:00:00"/>
    <s v="CUST0143"/>
    <s v="Planner"/>
    <s v="Stationery"/>
    <x v="2"/>
    <n v="1"/>
    <n v="42.63"/>
    <n v="0"/>
    <n v="42.63"/>
    <n v="25.55"/>
    <n v="17.079999999999998"/>
    <s v="Returned"/>
    <s v="OK"/>
    <s v="OK"/>
  </r>
  <r>
    <s v="ORD0042"/>
    <d v="2025-05-09T00:00:00"/>
    <s v="CUST0058"/>
    <s v="Cable Organizer"/>
    <s v="Accessories"/>
    <x v="0"/>
    <n v="2"/>
    <n v="21.49"/>
    <n v="0"/>
    <n v="42.98"/>
    <n v="36.049999999999997"/>
    <n v="6.93"/>
    <s v="Completed"/>
    <s v="OK"/>
    <s v="OK"/>
  </r>
  <r>
    <s v="ORD0448"/>
    <d v="2025-06-22T00:00:00"/>
    <s v="CUST0156"/>
    <s v="Storage Box"/>
    <s v="Home"/>
    <x v="3"/>
    <n v="1"/>
    <n v="53.42"/>
    <n v="0.15"/>
    <n v="45.41"/>
    <n v="33.64"/>
    <n v="11.77"/>
    <s v="Completed"/>
    <s v="OK"/>
    <s v="OK"/>
  </r>
  <r>
    <s v="ORD0190"/>
    <d v="2025-10-26T00:00:00"/>
    <s v="CUST0126"/>
    <s v="Wireless Mouse"/>
    <s v="Electronics"/>
    <x v="0"/>
    <n v="3"/>
    <n v="15.15"/>
    <n v="0"/>
    <n v="45.45"/>
    <n v="38.450000000000003"/>
    <n v="7"/>
    <s v="Completed"/>
    <s v="OK"/>
    <s v="OK"/>
  </r>
  <r>
    <s v="ORD0342"/>
    <d v="2025-11-09T00:00:00"/>
    <s v="CUST0025"/>
    <s v="Wireless Mouse"/>
    <s v="Electronics"/>
    <x v="0"/>
    <n v="1"/>
    <n v="45.72"/>
    <n v="0"/>
    <n v="45.72"/>
    <n v="28.09"/>
    <n v="17.63"/>
    <s v="Completed"/>
    <s v="OK"/>
    <s v="OK"/>
  </r>
  <r>
    <s v="ORD0053"/>
    <d v="2025-08-05T00:00:00"/>
    <s v="CUST0086"/>
    <s v="Headphones"/>
    <s v="Electronics"/>
    <x v="3"/>
    <n v="1"/>
    <n v="48.98"/>
    <n v="0.05"/>
    <n v="46.53"/>
    <n v="33.049999999999997"/>
    <n v="13.48"/>
    <s v="Returned"/>
    <s v="OK"/>
    <s v="OK"/>
  </r>
  <r>
    <s v="ORD0011"/>
    <d v="2025-02-02T00:00:00"/>
    <s v="CUST0048"/>
    <s v="Office Chair"/>
    <s v="Home"/>
    <x v="1"/>
    <n v="2"/>
    <n v="27.93"/>
    <n v="0.15"/>
    <n v="47.48"/>
    <n v="34.99"/>
    <n v="12.49"/>
    <s v="Completed"/>
    <s v="OK"/>
    <s v="OK"/>
  </r>
  <r>
    <s v="ORD0391"/>
    <d v="2025-11-20T00:00:00"/>
    <s v="CUST0048"/>
    <s v="Office Chair"/>
    <s v="Home"/>
    <x v="2"/>
    <n v="1"/>
    <n v="54.24"/>
    <n v="0.1"/>
    <n v="48.82"/>
    <n v="33.909999999999997"/>
    <n v="14.91"/>
    <s v="Completed"/>
    <s v="OK"/>
    <s v="OK"/>
  </r>
  <r>
    <s v="ORD0295"/>
    <d v="2025-05-22T00:00:00"/>
    <s v="CUST0053"/>
    <s v="USB Hub"/>
    <s v="Electronics"/>
    <x v="1"/>
    <n v="1"/>
    <n v="49.61"/>
    <n v="0"/>
    <n v="49.61"/>
    <n v="34.26"/>
    <n v="15.35"/>
    <s v="Completed"/>
    <s v="OK"/>
    <s v="OK"/>
  </r>
  <r>
    <s v="ORD0247"/>
    <d v="2025-05-06T00:00:00"/>
    <s v="CUST0136"/>
    <s v="Laptop Sleeve"/>
    <s v="Accessories"/>
    <x v="0"/>
    <n v="1"/>
    <n v="52.45"/>
    <n v="0.05"/>
    <n v="49.83"/>
    <n v="36.92"/>
    <n v="12.91"/>
    <s v="Cancelled"/>
    <s v="OK"/>
    <s v="OK"/>
  </r>
  <r>
    <s v="ORD0394"/>
    <d v="2025-11-04T00:00:00"/>
    <s v="CUST0003"/>
    <s v="Keyboard"/>
    <s v="Electronics"/>
    <x v="3"/>
    <n v="3"/>
    <n v="16.93"/>
    <n v="0"/>
    <n v="50.79"/>
    <n v="31.19"/>
    <n v="19.600000000000001"/>
    <s v="Returned"/>
    <s v="OK"/>
    <s v="OK"/>
  </r>
  <r>
    <s v="ORD0465"/>
    <d v="2025-04-26T00:00:00"/>
    <s v="CUST0144"/>
    <s v="Phone Stand"/>
    <s v="Accessories"/>
    <x v="0"/>
    <n v="4"/>
    <n v="13.46"/>
    <n v="0.05"/>
    <n v="51.15"/>
    <n v="29.43"/>
    <n v="21.72"/>
    <s v="Returned"/>
    <s v="OK"/>
    <s v="OK"/>
  </r>
  <r>
    <s v="ORD0294"/>
    <d v="2025-04-30T00:00:00"/>
    <s v="CUST0166"/>
    <s v="Headphones"/>
    <s v="Electronics"/>
    <x v="3"/>
    <n v="1"/>
    <n v="60.42"/>
    <n v="0.15"/>
    <n v="51.36"/>
    <n v="32.590000000000003"/>
    <n v="18.77"/>
    <s v="Returned"/>
    <s v="OK"/>
    <s v="OK"/>
  </r>
  <r>
    <s v="ORD0231"/>
    <d v="2025-01-07T00:00:00"/>
    <s v="CUST0155"/>
    <s v="Pen Set"/>
    <s v="Stationery"/>
    <x v="2"/>
    <n v="2"/>
    <n v="30.48"/>
    <n v="0.15"/>
    <n v="51.82"/>
    <n v="35.49"/>
    <n v="16.329999999999998"/>
    <s v="Cancelled"/>
    <s v="OK"/>
    <s v="OK"/>
  </r>
  <r>
    <s v="ORD0114"/>
    <d v="2025-04-23T00:00:00"/>
    <s v="CUST0114"/>
    <s v="Water Bottle"/>
    <s v="Home"/>
    <x v="0"/>
    <n v="3"/>
    <n v="19.3"/>
    <n v="0.1"/>
    <n v="52.11"/>
    <n v="35.75"/>
    <n v="16.36"/>
    <s v="Completed"/>
    <s v="OK"/>
    <s v="OK"/>
  </r>
  <r>
    <s v="ORD0405"/>
    <d v="2025-08-07T00:00:00"/>
    <s v="CUST0177"/>
    <s v="Keyboard"/>
    <s v="Electronics"/>
    <x v="2"/>
    <n v="2"/>
    <n v="27.49"/>
    <n v="0.05"/>
    <n v="52.23"/>
    <n v="40.29"/>
    <n v="11.94"/>
    <s v="Completed"/>
    <s v="OK"/>
    <s v="OK"/>
  </r>
  <r>
    <s v="ORD0329"/>
    <d v="2025-07-03T00:00:00"/>
    <s v="CUST0020"/>
    <s v="Desk Lamp"/>
    <s v="Home"/>
    <x v="3"/>
    <n v="4"/>
    <n v="14.53"/>
    <n v="0.1"/>
    <n v="52.31"/>
    <n v="37.39"/>
    <n v="14.92"/>
    <s v="Cancelled"/>
    <s v="OK"/>
    <s v="OK"/>
  </r>
  <r>
    <s v="ORD0477"/>
    <d v="2025-12-31T00:00:00"/>
    <s v="CUST0081"/>
    <s v="Cable Organizer"/>
    <s v="Accessories"/>
    <x v="3"/>
    <n v="2"/>
    <n v="29.2"/>
    <n v="0.1"/>
    <n v="52.56"/>
    <n v="35.47"/>
    <n v="17.09"/>
    <s v="Cancelled"/>
    <s v="OK"/>
    <s v="OK"/>
  </r>
  <r>
    <s v="ORD0498"/>
    <d v="2025-02-13T00:00:00"/>
    <s v="CUST0026"/>
    <s v="Phone Stand"/>
    <s v="Accessories"/>
    <x v="1"/>
    <n v="3"/>
    <n v="17.559999999999999"/>
    <n v="0"/>
    <n v="52.68"/>
    <n v="32.33"/>
    <n v="20.350000000000001"/>
    <s v="Cancelled"/>
    <s v="OK"/>
    <s v="OK"/>
  </r>
  <r>
    <s v="ORD0242"/>
    <d v="2025-02-18T00:00:00"/>
    <s v="CUST0036"/>
    <s v="Sticky Notes"/>
    <s v="Stationery"/>
    <x v="0"/>
    <n v="1"/>
    <n v="58.82"/>
    <n v="0.1"/>
    <n v="52.94"/>
    <n v="39.04"/>
    <n v="13.9"/>
    <s v="Completed"/>
    <s v="OK"/>
    <s v="OK"/>
  </r>
  <r>
    <s v="ORD0242"/>
    <d v="2025-02-18T00:00:00"/>
    <s v="CUST0036"/>
    <s v="Sticky Notes"/>
    <s v="Stationery"/>
    <x v="0"/>
    <n v="1"/>
    <n v="58.82"/>
    <n v="0.1"/>
    <n v="52.94"/>
    <n v="39.04"/>
    <n v="13.9"/>
    <s v="Completed"/>
    <s v="OK"/>
    <s v="OK"/>
  </r>
  <r>
    <s v="ORD0067"/>
    <d v="2025-02-15T00:00:00"/>
    <s v="CUST0035"/>
    <s v="Planner"/>
    <s v="Stationery"/>
    <x v="3"/>
    <n v="1"/>
    <n v="56.12"/>
    <n v="0.05"/>
    <n v="53.31"/>
    <n v="38.96"/>
    <n v="14.35"/>
    <s v="Cancelled"/>
    <s v="OK"/>
    <s v="OK"/>
  </r>
  <r>
    <s v="ORD0491"/>
    <d v="2025-04-25T00:00:00"/>
    <s v="CUST0063"/>
    <s v="Planner"/>
    <s v="Stationery"/>
    <x v="2"/>
    <n v="1"/>
    <n v="56.64"/>
    <n v="0.05"/>
    <n v="53.81"/>
    <n v="34.32"/>
    <n v="19.489999999999998"/>
    <s v="Cancelled"/>
    <s v="OK"/>
    <s v="OK"/>
  </r>
  <r>
    <s v="ORD0462"/>
    <d v="2025-04-22T00:00:00"/>
    <s v="CUST0161"/>
    <s v="Notebook"/>
    <s v="Stationery"/>
    <x v="1"/>
    <n v="4"/>
    <n v="15.28"/>
    <n v="0.1"/>
    <n v="55.01"/>
    <n v="37.729999999999997"/>
    <n v="17.28"/>
    <s v="Completed"/>
    <s v="OK"/>
    <s v="OK"/>
  </r>
  <r>
    <s v="ORD0017"/>
    <d v="2025-10-10T00:00:00"/>
    <s v="CUST0121"/>
    <s v="Office Chair"/>
    <s v="Home"/>
    <x v="2"/>
    <n v="2"/>
    <n v="29"/>
    <n v="0.05"/>
    <n v="55.1"/>
    <n v="45.29"/>
    <n v="9.81"/>
    <s v="Completed"/>
    <s v="OK"/>
    <s v="OK"/>
  </r>
  <r>
    <s v="ORD0268"/>
    <d v="2025-01-21T00:00:00"/>
    <s v="CUST0178"/>
    <s v="Wireless Mouse"/>
    <s v="Electronics"/>
    <x v="3"/>
    <n v="4"/>
    <n v="13.78"/>
    <n v="0"/>
    <n v="55.12"/>
    <n v="45.3"/>
    <n v="9.82"/>
    <s v="Completed"/>
    <s v="OK"/>
    <s v="OK"/>
  </r>
  <r>
    <s v="ORD0249"/>
    <d v="2025-03-29T00:00:00"/>
    <s v="CUST0044"/>
    <s v="Keyboard"/>
    <s v="Electronics"/>
    <x v="3"/>
    <n v="2"/>
    <n v="30.66"/>
    <n v="0.1"/>
    <n v="55.19"/>
    <n v="43.89"/>
    <n v="11.3"/>
    <s v="Completed"/>
    <s v="OK"/>
    <s v="OK"/>
  </r>
  <r>
    <s v="ORD0359"/>
    <d v="2025-07-05T00:00:00"/>
    <s v="CUST0027"/>
    <s v="Storage Box"/>
    <s v="Home"/>
    <x v="0"/>
    <n v="1"/>
    <n v="61.64"/>
    <n v="0.1"/>
    <n v="55.48"/>
    <n v="43.38"/>
    <n v="12.1"/>
    <s v="Returned"/>
    <s v="OK"/>
    <s v="OK"/>
  </r>
  <r>
    <s v="ORD0345"/>
    <d v="2025-02-18T00:00:00"/>
    <s v="CUST0079"/>
    <s v="Planner"/>
    <s v="Stationery"/>
    <x v="3"/>
    <n v="2"/>
    <n v="31.02"/>
    <n v="0.1"/>
    <n v="55.84"/>
    <n v="31.62"/>
    <n v="24.22"/>
    <s v="Returned"/>
    <s v="OK"/>
    <s v="OK"/>
  </r>
  <r>
    <s v="ORD0318"/>
    <d v="2025-06-06T00:00:00"/>
    <s v="CUST0146"/>
    <s v="Notebook"/>
    <s v="Stationery"/>
    <x v="2"/>
    <n v="4"/>
    <n v="15.7"/>
    <n v="0.1"/>
    <n v="56.52"/>
    <n v="47.14"/>
    <n v="9.3800000000000008"/>
    <s v="Completed"/>
    <s v="OK"/>
    <s v="OK"/>
  </r>
  <r>
    <s v="ORD0003"/>
    <d v="2025-02-28T00:00:00"/>
    <s v="CUST0170"/>
    <s v="Notebook"/>
    <s v="Stationery"/>
    <x v="2"/>
    <n v="1"/>
    <n v="60.33"/>
    <n v="0.05"/>
    <n v="57.31"/>
    <n v="38.950000000000003"/>
    <n v="18.36"/>
    <s v="Completed"/>
    <s v="OK"/>
    <s v="OK"/>
  </r>
  <r>
    <s v="ORD0100"/>
    <d v="2025-08-19T00:00:00"/>
    <s v="CUST0155"/>
    <s v="Laptop Sleeve"/>
    <s v="Accessories"/>
    <x v="2"/>
    <n v="2"/>
    <n v="31.95"/>
    <n v="0.1"/>
    <n v="57.51"/>
    <n v="42.33"/>
    <n v="15.18"/>
    <s v="Returned"/>
    <s v="OK"/>
    <s v="OK"/>
  </r>
  <r>
    <s v="ORD0198"/>
    <d v="2025-11-12T00:00:00"/>
    <s v="CUST0093"/>
    <s v="Backpack"/>
    <s v="Accessories"/>
    <x v="3"/>
    <n v="1"/>
    <n v="64.48"/>
    <n v="0.1"/>
    <n v="58.03"/>
    <n v="42.53"/>
    <n v="15.5"/>
    <s v="Cancelled"/>
    <s v="OK"/>
    <s v="OK"/>
  </r>
  <r>
    <s v="ORD0337"/>
    <d v="2025-08-20T00:00:00"/>
    <s v="CUST0136"/>
    <s v="Laptop Sleeve"/>
    <s v="Accessories"/>
    <x v="3"/>
    <n v="1"/>
    <n v="66.790000000000006"/>
    <n v="0.1"/>
    <n v="60.11"/>
    <n v="34.31"/>
    <n v="25.8"/>
    <s v="Cancelled"/>
    <s v="OK"/>
    <s v="OK"/>
  </r>
  <r>
    <s v="ORD0189"/>
    <d v="2025-09-02T00:00:00"/>
    <s v="CUST0059"/>
    <s v="Backpack"/>
    <s v="Accessories"/>
    <x v="3"/>
    <n v="4"/>
    <n v="16.89"/>
    <n v="0.1"/>
    <n v="60.8"/>
    <n v="37.54"/>
    <n v="23.26"/>
    <s v="Cancelled"/>
    <s v="OK"/>
    <s v="OK"/>
  </r>
  <r>
    <s v="ORD0027"/>
    <d v="2025-04-26T00:00:00"/>
    <s v="CUST0075"/>
    <s v="Backpack"/>
    <s v="Accessories"/>
    <x v="3"/>
    <n v="1"/>
    <n v="68.06"/>
    <n v="0.1"/>
    <n v="61.25"/>
    <n v="50.17"/>
    <n v="11.08"/>
    <s v="Completed"/>
    <s v="OK"/>
    <s v="OK"/>
  </r>
  <r>
    <s v="ORD0101"/>
    <d v="2025-03-27T00:00:00"/>
    <s v="CUST0066"/>
    <s v="Keyboard"/>
    <s v="Electronics"/>
    <x v="0"/>
    <n v="1"/>
    <n v="61.62"/>
    <n v="0"/>
    <n v="61.62"/>
    <n v="47.64"/>
    <n v="13.98"/>
    <s v="Returned"/>
    <s v="OK"/>
    <s v="OK"/>
  </r>
  <r>
    <s v="ORD0226"/>
    <d v="2025-01-12T00:00:00"/>
    <s v="CUST0032"/>
    <s v="Water Bottle"/>
    <s v="Home"/>
    <x v="2"/>
    <n v="5"/>
    <n v="12.44"/>
    <n v="0"/>
    <n v="62.2"/>
    <n v="52.18"/>
    <n v="10.02"/>
    <s v="Returned"/>
    <s v="OK"/>
    <s v="OK"/>
  </r>
  <r>
    <s v="ORD0335"/>
    <d v="2025-06-18T00:00:00"/>
    <s v="CUST0152"/>
    <s v="Laptop Sleeve"/>
    <s v="Accessories"/>
    <x v="1"/>
    <n v="2"/>
    <n v="31.12"/>
    <n v="0"/>
    <n v="62.24"/>
    <n v="40.93"/>
    <n v="21.31"/>
    <s v="Completed"/>
    <s v="OK"/>
    <s v="OK"/>
  </r>
  <r>
    <s v="ORD0008"/>
    <d v="2025-02-22T00:00:00"/>
    <s v="CUST0024"/>
    <s v="Planner"/>
    <s v="Stationery"/>
    <x v="0"/>
    <n v="4"/>
    <n v="15.78"/>
    <n v="0"/>
    <n v="63.12"/>
    <n v="42.08"/>
    <n v="21.04"/>
    <s v="Completed"/>
    <s v="OK"/>
    <s v="OK"/>
  </r>
  <r>
    <s v="ORD0280"/>
    <d v="2025-12-31T00:00:00"/>
    <s v="CUST0003"/>
    <s v="Water Bottle"/>
    <s v="Home"/>
    <x v="1"/>
    <n v="2"/>
    <n v="35.17"/>
    <n v="0.1"/>
    <n v="63.31"/>
    <n v="49.89"/>
    <n v="13.42"/>
    <s v="Completed"/>
    <s v="OK"/>
    <s v="OK"/>
  </r>
  <r>
    <s v="ORD0260"/>
    <d v="2025-04-28T00:00:00"/>
    <s v="CUST0045"/>
    <s v="Keyboard"/>
    <s v="Electronics"/>
    <x v="3"/>
    <n v="4"/>
    <n v="18.760000000000002"/>
    <n v="0.15"/>
    <n v="63.78"/>
    <n v="49.75"/>
    <n v="14.03"/>
    <s v="Completed"/>
    <s v="OK"/>
    <s v="OK"/>
  </r>
  <r>
    <s v="ORD0080"/>
    <d v="2025-12-12T00:00:00"/>
    <s v="CUST0046"/>
    <s v="Pen Set"/>
    <s v="Stationery"/>
    <x v="0"/>
    <n v="5"/>
    <n v="13.47"/>
    <n v="0.05"/>
    <n v="63.98"/>
    <n v="45.45"/>
    <n v="18.53"/>
    <s v="Returned"/>
    <s v="OK"/>
    <s v="OK"/>
  </r>
  <r>
    <s v="ORD0256"/>
    <d v="2025-01-20T00:00:00"/>
    <s v="CUST0017"/>
    <s v="Keyboard"/>
    <s v="Electronics"/>
    <x v="1"/>
    <n v="5"/>
    <n v="13"/>
    <n v="0"/>
    <n v="65"/>
    <n v="39.29"/>
    <n v="25.71"/>
    <s v="Cancelled"/>
    <s v="OK"/>
    <s v="OK"/>
  </r>
  <r>
    <s v="ORD0131"/>
    <d v="2025-01-25T00:00:00"/>
    <s v="CUST0039"/>
    <s v="Wireless Mouse"/>
    <s v="Electronics"/>
    <x v="1"/>
    <n v="1"/>
    <n v="68.459999999999994"/>
    <n v="0.05"/>
    <n v="65.040000000000006"/>
    <n v="49.53"/>
    <n v="15.51"/>
    <s v="Completed"/>
    <s v="OK"/>
    <s v="OK"/>
  </r>
  <r>
    <s v="ORD0063"/>
    <d v="2025-09-09T00:00:00"/>
    <s v="CUST0164"/>
    <s v="Notebook"/>
    <s v="Stationery"/>
    <x v="1"/>
    <n v="5"/>
    <n v="15.42"/>
    <n v="0.15"/>
    <n v="65.540000000000006"/>
    <n v="46.42"/>
    <n v="19.12"/>
    <s v="Completed"/>
    <s v="OK"/>
    <s v="OK"/>
  </r>
  <r>
    <s v="ORD0483"/>
    <d v="2025-08-07T00:00:00"/>
    <s v="CUST0109"/>
    <s v="Notebook"/>
    <s v="Stationery"/>
    <x v="1"/>
    <n v="1"/>
    <n v="68.41"/>
    <n v="0"/>
    <n v="68.41"/>
    <n v="47.6"/>
    <n v="20.81"/>
    <s v="Completed"/>
    <s v="OK"/>
    <s v="OK"/>
  </r>
  <r>
    <s v="ORD0290"/>
    <d v="2025-02-08T00:00:00"/>
    <s v="CUST0137"/>
    <s v="Office Chair"/>
    <s v="Home"/>
    <x v="1"/>
    <n v="5"/>
    <n v="13.71"/>
    <n v="0"/>
    <n v="68.55"/>
    <n v="51.13"/>
    <n v="17.420000000000002"/>
    <s v="Returned"/>
    <s v="OK"/>
    <s v="OK"/>
  </r>
  <r>
    <s v="ORD0206"/>
    <d v="2025-04-28T00:00:00"/>
    <s v="CUST0021"/>
    <s v="Pen Set"/>
    <s v="Stationery"/>
    <x v="0"/>
    <n v="0"/>
    <n v="72.239999999999995"/>
    <n v="0.05"/>
    <n v="68.63"/>
    <n v="40.06"/>
    <n v="28.57"/>
    <s v="Cancelled"/>
    <s v="Mismatch"/>
    <s v="OK"/>
  </r>
  <r>
    <s v="ORD0248"/>
    <d v="2025-01-22T00:00:00"/>
    <s v="CUST0092"/>
    <s v="Pen Set"/>
    <s v="Stationery"/>
    <x v="3"/>
    <n v="4"/>
    <n v="17.260000000000002"/>
    <n v="0"/>
    <n v="69.040000000000006"/>
    <n v="53.57"/>
    <n v="15.47"/>
    <s v="Completed"/>
    <s v="OK"/>
    <s v="OK"/>
  </r>
  <r>
    <s v="ORD0384"/>
    <d v="2025-07-14T00:00:00"/>
    <s v="CUST0111"/>
    <s v="Water Bottle"/>
    <s v="Home"/>
    <x v="2"/>
    <n v="1"/>
    <n v="70.67"/>
    <n v="0"/>
    <n v="70.67"/>
    <n v="57.51"/>
    <n v="13.16"/>
    <s v="Completed"/>
    <s v="OK"/>
    <s v="OK"/>
  </r>
  <r>
    <s v="ORD0496"/>
    <d v="2025-01-25T00:00:00"/>
    <s v="CUST0034"/>
    <s v="Water Bottle"/>
    <s v="Home"/>
    <x v="1"/>
    <n v="3"/>
    <n v="23.89"/>
    <n v="0"/>
    <n v="71.67"/>
    <n v="52.22"/>
    <n v="19.45"/>
    <s v="Cancelled"/>
    <s v="OK"/>
    <s v="OK"/>
  </r>
  <r>
    <s v="ORD0146"/>
    <d v="2025-01-20T00:00:00"/>
    <s v="CUST0122"/>
    <s v="Office Chair"/>
    <s v="Home"/>
    <x v="3"/>
    <n v="5"/>
    <n v="17.95"/>
    <n v="0.2"/>
    <n v="71.8"/>
    <n v="58.53"/>
    <n v="13.27"/>
    <s v="Completed"/>
    <s v="OK"/>
    <s v="OK"/>
  </r>
  <r>
    <s v="ORD0233"/>
    <d v="2025-08-30T00:00:00"/>
    <s v="CUST0082"/>
    <s v="Office Chair"/>
    <s v="Home"/>
    <x v="3"/>
    <n v="2"/>
    <n v="40.630000000000003"/>
    <n v="0.1"/>
    <n v="73.13"/>
    <n v="47.32"/>
    <n v="25.81"/>
    <s v="Completed"/>
    <s v="OK"/>
    <s v="OK"/>
  </r>
  <r>
    <s v="ORD0369"/>
    <d v="2025-01-08T00:00:00"/>
    <s v="CUST0172"/>
    <s v="Storage Box"/>
    <s v="Home"/>
    <x v="3"/>
    <n v="2"/>
    <n v="39.01"/>
    <n v="0.05"/>
    <n v="74.12"/>
    <n v="53.24"/>
    <n v="20.88"/>
    <s v="Cancelled"/>
    <s v="OK"/>
    <s v="OK"/>
  </r>
  <r>
    <s v="ORD0205"/>
    <d v="2025-10-25T00:00:00"/>
    <s v="CUST0036"/>
    <s v="Keyboard"/>
    <s v="Electronics"/>
    <x v="2"/>
    <n v="3"/>
    <n v="29.19"/>
    <n v="0.15"/>
    <n v="74.430000000000007"/>
    <n v="58.79"/>
    <n v="15.64"/>
    <s v="Completed"/>
    <s v="OK"/>
    <s v="OK"/>
  </r>
  <r>
    <s v="ORD0467"/>
    <d v="2025-08-19T00:00:00"/>
    <s v="CUST0053"/>
    <s v="Headphones"/>
    <s v="Electronics"/>
    <x v="1"/>
    <n v="1"/>
    <n v="87.98"/>
    <n v="0.15"/>
    <n v="74.78"/>
    <n v="42.53"/>
    <n v="32.25"/>
    <s v="Returned"/>
    <s v="OK"/>
    <s v="OK"/>
  </r>
  <r>
    <s v="ORD0180"/>
    <d v="2025-12-01T00:00:00"/>
    <s v="CUST0162"/>
    <s v="Cable Organizer"/>
    <s v="Accessories"/>
    <x v="2"/>
    <n v="1"/>
    <n v="83.44"/>
    <n v="0.1"/>
    <n v="75.099999999999994"/>
    <n v="52.27"/>
    <n v="22.83"/>
    <s v="Completed"/>
    <s v="OK"/>
    <s v="OK"/>
  </r>
  <r>
    <s v="ORD0127"/>
    <d v="2025-11-06T00:00:00"/>
    <s v="CUST0107"/>
    <s v="Desk Lamp"/>
    <s v="Home"/>
    <x v="3"/>
    <n v="1"/>
    <n v="80.03"/>
    <n v="0.05"/>
    <n v="76.03"/>
    <n v="53.65"/>
    <n v="22.38"/>
    <s v="Completed"/>
    <s v="OK"/>
    <s v="OK"/>
  </r>
  <r>
    <s v="ORD0306"/>
    <d v="2025-11-03T00:00:00"/>
    <s v="CUST0059"/>
    <s v="Phone Stand"/>
    <s v="Accessories"/>
    <x v="1"/>
    <n v="1"/>
    <n v="76.290000000000006"/>
    <n v="0"/>
    <n v="76.290000000000006"/>
    <n v="56.08"/>
    <n v="20.21"/>
    <s v="Cancelled"/>
    <s v="OK"/>
    <s v="OK"/>
  </r>
  <r>
    <s v="ORD0278"/>
    <d v="2025-09-25T00:00:00"/>
    <s v="CUST0074"/>
    <s v="Planner"/>
    <s v="Stationery"/>
    <x v="2"/>
    <n v="1"/>
    <n v="76.349999999999994"/>
    <n v="0"/>
    <n v="76.349999999999994"/>
    <n v="52.1"/>
    <n v="24.25"/>
    <s v="Completed"/>
    <s v="OK"/>
    <s v="OK"/>
  </r>
  <r>
    <s v="ORD0311"/>
    <d v="2025-10-12T00:00:00"/>
    <s v="CUST0105"/>
    <s v="Notebook"/>
    <s v="Stationery"/>
    <x v="0"/>
    <n v="1"/>
    <n v="77.53"/>
    <n v="0"/>
    <n v="77.53"/>
    <n v="60.08"/>
    <n v="17.45"/>
    <s v="Completed"/>
    <s v="OK"/>
    <s v="OK"/>
  </r>
  <r>
    <s v="ORD0078"/>
    <d v="2025-12-26T00:00:00"/>
    <s v="CUST0132"/>
    <s v="Laptop Sleeve"/>
    <s v="Accessories"/>
    <x v="2"/>
    <n v="1"/>
    <n v="87.14"/>
    <n v="0.1"/>
    <n v="78.430000000000007"/>
    <n v="52.56"/>
    <n v="25.87"/>
    <s v="Returned"/>
    <s v="OK"/>
    <s v="OK"/>
  </r>
  <r>
    <s v="ORD0476"/>
    <d v="2025-02-07T00:00:00"/>
    <s v="CUST0071"/>
    <s v="Sticky Notes"/>
    <s v="Stationery"/>
    <x v="3"/>
    <n v="2"/>
    <n v="41.57"/>
    <n v="0.05"/>
    <n v="78.98"/>
    <n v="61.01"/>
    <n v="17.97"/>
    <s v="Returned"/>
    <s v="OK"/>
    <s v="OK"/>
  </r>
  <r>
    <s v="ORD0207"/>
    <d v="2025-06-19T00:00:00"/>
    <s v="CUST0072"/>
    <s v="Notebook"/>
    <s v="Stationery"/>
    <x v="2"/>
    <n v="2"/>
    <n v="44.47"/>
    <n v="0.1"/>
    <n v="80.05"/>
    <n v="53.9"/>
    <n v="26.15"/>
    <s v="Cancelled"/>
    <s v="OK"/>
    <s v="OK"/>
  </r>
  <r>
    <s v="ORD0239"/>
    <d v="2025-04-19T00:00:00"/>
    <s v="CUST0179"/>
    <s v="Headphones"/>
    <s v="Electronics"/>
    <x v="2"/>
    <n v="5"/>
    <n v="16.23"/>
    <n v="0"/>
    <n v="81.150000000000006"/>
    <n v="62.8"/>
    <n v="18.350000000000001"/>
    <s v="Completed"/>
    <s v="OK"/>
    <s v="OK"/>
  </r>
  <r>
    <s v="ORD0022"/>
    <d v="2025-04-08T00:00:00"/>
    <s v="CUST0139"/>
    <s v="Planner"/>
    <s v="Stationery"/>
    <x v="1"/>
    <n v="4"/>
    <n v="21.91"/>
    <n v="0.05"/>
    <n v="83.26"/>
    <n v="51.84"/>
    <n v="31.42"/>
    <s v="Cancelled"/>
    <s v="OK"/>
    <s v="OK"/>
  </r>
  <r>
    <s v="ORD0057"/>
    <d v="2025-09-10T00:00:00"/>
    <s v="CUST0007"/>
    <s v="Headphones"/>
    <s v="Electronics"/>
    <x v="0"/>
    <n v="3"/>
    <n v="28.14"/>
    <n v="0"/>
    <n v="84.42"/>
    <n v="65.72"/>
    <n v="18.7"/>
    <s v="Returned"/>
    <s v="OK"/>
    <s v="OK"/>
  </r>
  <r>
    <s v="ORD0199"/>
    <d v="2025-09-22T00:00:00"/>
    <s v="CUST0003"/>
    <s v="Wireless Mouse"/>
    <s v="Electronics"/>
    <x v="3"/>
    <n v="1"/>
    <n v="84.44"/>
    <n v="0"/>
    <n v="84.44"/>
    <n v="61.31"/>
    <n v="23.13"/>
    <s v="Completed"/>
    <s v="OK"/>
    <s v="OK"/>
  </r>
  <r>
    <s v="ORD0474"/>
    <d v="2025-06-30T00:00:00"/>
    <s v="CUST0009"/>
    <s v="Backpack"/>
    <s v="Accessories"/>
    <x v="0"/>
    <n v="1"/>
    <n v="87.05"/>
    <n v="0"/>
    <n v="87.05"/>
    <n v="69.349999999999994"/>
    <n v="17.7"/>
    <s v="Completed"/>
    <s v="OK"/>
    <s v="OK"/>
  </r>
  <r>
    <s v="ORD0049"/>
    <d v="2025-09-10T00:00:00"/>
    <s v="CUST0035"/>
    <s v="USB Hub"/>
    <s v="Electronics"/>
    <x v="1"/>
    <n v="2"/>
    <n v="43.55"/>
    <n v="0"/>
    <n v="87.1"/>
    <n v="53.51"/>
    <n v="33.590000000000003"/>
    <s v="Completed"/>
    <s v="OK"/>
    <s v="OK"/>
  </r>
  <r>
    <s v="ORD0479"/>
    <d v="2025-05-11T00:00:00"/>
    <s v="CUST0150"/>
    <s v="USB Hub"/>
    <s v="Electronics"/>
    <x v="2"/>
    <n v="3"/>
    <n v="32.29"/>
    <n v="0.1"/>
    <n v="87.18"/>
    <n v="52.79"/>
    <n v="34.39"/>
    <s v="Completed"/>
    <s v="OK"/>
    <s v="OK"/>
  </r>
  <r>
    <s v="ORD0064"/>
    <d v="2025-02-23T00:00:00"/>
    <s v="CUST0118"/>
    <s v="Cable Organizer"/>
    <s v="Accessories"/>
    <x v="1"/>
    <n v="1"/>
    <n v="97.97"/>
    <n v="0.1"/>
    <n v="88.17"/>
    <n v="66.900000000000006"/>
    <n v="21.27"/>
    <s v="Completed"/>
    <s v="OK"/>
    <s v="OK"/>
  </r>
  <r>
    <s v="ORD0245"/>
    <d v="2025-04-24T00:00:00"/>
    <s v="CUST0022"/>
    <s v="Backpack"/>
    <s v="Accessories"/>
    <x v="2"/>
    <n v="2"/>
    <n v="46.63"/>
    <n v="0.05"/>
    <n v="88.6"/>
    <n v="60.21"/>
    <n v="28.39"/>
    <s v="Returned"/>
    <s v="OK"/>
    <s v="OK"/>
  </r>
  <r>
    <s v="ORD0352"/>
    <d v="2025-08-24T00:00:00"/>
    <s v="CUST0105"/>
    <s v="Sticky Notes"/>
    <s v="Stationery"/>
    <x v="2"/>
    <n v="1"/>
    <n v="89.87"/>
    <n v="0"/>
    <n v="89.87"/>
    <n v="66.53"/>
    <n v="23.34"/>
    <s v="Completed"/>
    <s v="OK"/>
    <s v="OK"/>
  </r>
  <r>
    <s v="ORD0356"/>
    <d v="2025-10-30T00:00:00"/>
    <s v="CUST0053"/>
    <s v="Laptop Sleeve"/>
    <s v="Accessories"/>
    <x v="0"/>
    <n v="5"/>
    <n v="17.989999999999998"/>
    <n v="0"/>
    <n v="89.95"/>
    <n v="63.39"/>
    <n v="26.56"/>
    <s v="Returned"/>
    <s v="OK"/>
    <s v="OK"/>
  </r>
  <r>
    <s v="ORD0047"/>
    <d v="2025-06-09T00:00:00"/>
    <s v="CUST0084"/>
    <s v="Phone Stand"/>
    <s v="Accessories"/>
    <x v="2"/>
    <n v="1"/>
    <n v="100.77"/>
    <n v="0.1"/>
    <n v="90.69"/>
    <n v="66.63"/>
    <n v="24.06"/>
    <s v="Completed"/>
    <s v="OK"/>
    <s v="OK"/>
  </r>
  <r>
    <s v="ORD0171"/>
    <d v="2025-06-15T00:00:00"/>
    <s v="CUST0103"/>
    <s v="Wireless Mouse"/>
    <s v="Electronics"/>
    <x v="0"/>
    <n v="5"/>
    <n v="22.19"/>
    <n v="0.15"/>
    <n v="94.31"/>
    <n v="61.99"/>
    <n v="32.32"/>
    <s v="Completed"/>
    <s v="OK"/>
    <s v="OK"/>
  </r>
  <r>
    <s v="ORD0183"/>
    <d v="2025-04-21T00:00:00"/>
    <s v="CUST0014"/>
    <s v="Backpack"/>
    <s v="Accessories"/>
    <x v="2"/>
    <n v="5"/>
    <n v="19.89"/>
    <n v="0.05"/>
    <n v="94.48"/>
    <n v="54.72"/>
    <n v="39.76"/>
    <s v="Cancelled"/>
    <s v="OK"/>
    <s v="OK"/>
  </r>
  <r>
    <s v="ORD0289"/>
    <d v="2025-01-04T00:00:00"/>
    <s v="CUST0153"/>
    <s v="Phone Stand"/>
    <s v="Accessories"/>
    <x v="1"/>
    <n v="1"/>
    <n v="120.71"/>
    <n v="0.2"/>
    <n v="96.57"/>
    <n v="55.22"/>
    <n v="41.35"/>
    <s v="Completed"/>
    <s v="OK"/>
    <s v="OK"/>
  </r>
  <r>
    <s v="ORD0442"/>
    <d v="2025-05-16T00:00:00"/>
    <s v="CUST0058"/>
    <s v="Planner"/>
    <s v="Stationery"/>
    <x v="3"/>
    <n v="4"/>
    <n v="24.4"/>
    <n v="0"/>
    <n v="97.6"/>
    <n v="55.1"/>
    <n v="42.5"/>
    <s v="Returned"/>
    <s v="OK"/>
    <s v="OK"/>
  </r>
  <r>
    <s v="ORD0409"/>
    <d v="2025-03-06T00:00:00"/>
    <s v="CUST0083"/>
    <s v="Wireless Mouse"/>
    <s v="Electronics"/>
    <x v="0"/>
    <n v="1"/>
    <n v="98.43"/>
    <n v="0"/>
    <n v="98.43"/>
    <n v="54.2"/>
    <n v="44.23"/>
    <s v="Returned"/>
    <s v="OK"/>
    <s v="OK"/>
  </r>
  <r>
    <s v="ORD0043"/>
    <d v="2025-09-29T00:00:00"/>
    <s v="CUST0069"/>
    <s v="Headphones"/>
    <s v="Electronics"/>
    <x v="0"/>
    <n v="2"/>
    <n v="49.24"/>
    <n v="0"/>
    <n v="98.48"/>
    <n v="59.57"/>
    <n v="38.909999999999997"/>
    <s v="Cancelled"/>
    <s v="OK"/>
    <s v="OK"/>
  </r>
  <r>
    <s v="ORD0041"/>
    <d v="2025-05-25T00:00:00"/>
    <s v="CUST0120"/>
    <s v="Cable Organizer"/>
    <s v="Accessories"/>
    <x v="1"/>
    <n v="4"/>
    <n v="30.83"/>
    <n v="0.2"/>
    <n v="98.66"/>
    <n v="75.41"/>
    <n v="23.25"/>
    <s v="Completed"/>
    <s v="OK"/>
    <s v="OK"/>
  </r>
  <r>
    <s v="ORD0286"/>
    <d v="2025-06-12T00:00:00"/>
    <s v="CUST0180"/>
    <s v="Pen Set"/>
    <s v="Stationery"/>
    <x v="0"/>
    <n v="2"/>
    <n v="50.03"/>
    <n v="0"/>
    <n v="100.06"/>
    <n v="57.65"/>
    <n v="42.41"/>
    <s v="Completed"/>
    <s v="OK"/>
    <s v="OK"/>
  </r>
  <r>
    <s v="ORD0108"/>
    <d v="2025-05-29T00:00:00"/>
    <s v="CUST0175"/>
    <s v="Storage Box"/>
    <s v="Home"/>
    <x v="3"/>
    <n v="4"/>
    <n v="29.44"/>
    <n v="0.15"/>
    <n v="100.1"/>
    <n v="81.180000000000007"/>
    <n v="18.920000000000002"/>
    <s v="Completed"/>
    <s v="OK"/>
    <s v="OK"/>
  </r>
  <r>
    <s v="ORD0225"/>
    <d v="2025-01-25T00:00:00"/>
    <s v="CUST0141"/>
    <s v="Planner"/>
    <s v="Stationery"/>
    <x v="3"/>
    <n v="1"/>
    <n v="112.28"/>
    <n v="0.1"/>
    <n v="101.05"/>
    <n v="60.88"/>
    <n v="40.17"/>
    <s v="Completed"/>
    <s v="OK"/>
    <s v="OK"/>
  </r>
  <r>
    <s v="ORD0104"/>
    <d v="2025-12-26T00:00:00"/>
    <s v="CUST0038"/>
    <s v="Sticky Notes"/>
    <s v="Stationery"/>
    <x v="0"/>
    <n v="2"/>
    <n v="51.31"/>
    <n v="0"/>
    <n v="102.62"/>
    <n v="62.03"/>
    <n v="40.590000000000003"/>
    <s v="Completed"/>
    <s v="OK"/>
    <s v="OK"/>
  </r>
  <r>
    <s v="ORD0208"/>
    <d v="2025-03-01T00:00:00"/>
    <s v="CUST0167"/>
    <s v="Notebook"/>
    <s v="Stationery"/>
    <x v="0"/>
    <n v="2"/>
    <n v="51.97"/>
    <n v="0"/>
    <n v="103.94"/>
    <n v="79.989999999999995"/>
    <n v="23.95"/>
    <s v="Returned"/>
    <s v="OK"/>
    <s v="OK"/>
  </r>
  <r>
    <s v="ORD0055"/>
    <d v="2025-02-22T00:00:00"/>
    <s v="CUST0151"/>
    <s v="Phone Stand"/>
    <s v="Accessories"/>
    <x v="2"/>
    <n v="5"/>
    <n v="23.77"/>
    <n v="0.1"/>
    <n v="106.96"/>
    <n v="76.599999999999994"/>
    <n v="30.36"/>
    <s v="Cancelled"/>
    <s v="Mismatch"/>
    <s v="OK"/>
  </r>
  <r>
    <s v="ORD0453"/>
    <d v="2025-05-20T00:00:00"/>
    <s v="CUST0043"/>
    <s v="Planner"/>
    <s v="Stationery"/>
    <x v="3"/>
    <n v="1"/>
    <n v="107.19"/>
    <n v="0"/>
    <n v="107.19"/>
    <n v="62.01"/>
    <n v="45.18"/>
    <s v="Returned"/>
    <s v="OK"/>
    <s v="OK"/>
  </r>
  <r>
    <s v="ORD0446"/>
    <d v="2025-05-18T00:00:00"/>
    <s v="CUST0044"/>
    <s v="Sticky Notes"/>
    <s v="Stationery"/>
    <x v="1"/>
    <n v="3"/>
    <n v="39.880000000000003"/>
    <n v="0.1"/>
    <n v="107.68"/>
    <n v="87.05"/>
    <n v="20.63"/>
    <s v="Returned"/>
    <s v="OK"/>
    <s v="OK"/>
  </r>
  <r>
    <s v="ORD0213"/>
    <d v="2025-03-14T00:00:00"/>
    <s v="CUST0136"/>
    <s v="Planner"/>
    <s v="Stationery"/>
    <x v="3"/>
    <n v="5"/>
    <n v="21.66"/>
    <n v="0"/>
    <n v="108.3"/>
    <n v="88.62"/>
    <n v="19.68"/>
    <s v="Completed"/>
    <s v="OK"/>
    <s v="OK"/>
  </r>
  <r>
    <s v="ORD0214"/>
    <d v="2025-01-05T00:00:00"/>
    <s v="CUST0172"/>
    <s v="Phone Stand"/>
    <s v="Accessories"/>
    <x v="1"/>
    <n v="1"/>
    <n v="114.15"/>
    <n v="0.05"/>
    <n v="108.44"/>
    <n v="86.7"/>
    <n v="21.74"/>
    <s v="Returned"/>
    <s v="OK"/>
    <s v="OK"/>
  </r>
  <r>
    <s v="ORD0447"/>
    <d v="2025-11-14T00:00:00"/>
    <s v="CUST0113"/>
    <s v="Cable Organizer"/>
    <s v="Accessories"/>
    <x v="2"/>
    <n v="1"/>
    <n v="108.56"/>
    <n v="0"/>
    <n v="108.56"/>
    <n v="74.16"/>
    <n v="34.4"/>
    <s v="Completed"/>
    <s v="OK"/>
    <s v="OK"/>
  </r>
  <r>
    <s v="ORD0157"/>
    <d v="2025-11-20T00:00:00"/>
    <s v="CUST0017"/>
    <s v="Planner"/>
    <s v="Stationery"/>
    <x v="2"/>
    <n v="5"/>
    <n v="25.63"/>
    <n v="0.15"/>
    <n v="108.93"/>
    <n v="82.39"/>
    <n v="26.54"/>
    <s v="Completed"/>
    <s v="OK"/>
    <s v="OK"/>
  </r>
  <r>
    <s v="ORD0176"/>
    <d v="2025-04-29T00:00:00"/>
    <s v="CUST0053"/>
    <s v="Wireless Mouse"/>
    <s v="Electronics"/>
    <x v="1"/>
    <n v="3"/>
    <n v="45.7"/>
    <n v="0.2"/>
    <n v="109.68"/>
    <n v="71.41"/>
    <n v="38.270000000000003"/>
    <s v="Cancelled"/>
    <s v="OK"/>
    <s v="OK"/>
  </r>
  <r>
    <s v="ORD0006"/>
    <d v="2025-02-19T00:00:00"/>
    <s v="CUST0104"/>
    <s v="Sticky Notes"/>
    <s v="Stationery"/>
    <x v="2"/>
    <n v="4"/>
    <n v="28.99"/>
    <n v="0.05"/>
    <n v="110.16"/>
    <n v="61.72"/>
    <n v="48.44"/>
    <s v="Completed"/>
    <s v="OK"/>
    <s v="OK"/>
  </r>
  <r>
    <s v="ORD0281"/>
    <d v="2025-06-25T00:00:00"/>
    <s v="CUST0107"/>
    <s v="Office Chair"/>
    <s v="Home"/>
    <x v="3"/>
    <n v="1"/>
    <n v="110.88"/>
    <n v="0"/>
    <n v="110.88"/>
    <n v="73.08"/>
    <n v="37.799999999999997"/>
    <s v="Returned"/>
    <s v="OK"/>
    <s v="OK"/>
  </r>
  <r>
    <s v="ORD0348"/>
    <d v="2025-03-24T00:00:00"/>
    <s v="CUST0177"/>
    <s v="Headphones"/>
    <s v="Electronics"/>
    <x v="0"/>
    <n v="2"/>
    <n v="61.9"/>
    <n v="0.1"/>
    <n v="111.42"/>
    <n v="91.09"/>
    <n v="20.329999999999998"/>
    <s v="Cancelled"/>
    <s v="OK"/>
    <s v="OK"/>
  </r>
  <r>
    <s v="ORD0321"/>
    <d v="2025-11-02T00:00:00"/>
    <s v="CUST0006"/>
    <s v="Pen Set"/>
    <s v="Stationery"/>
    <x v="1"/>
    <n v="3"/>
    <n v="43.92"/>
    <n v="0.15"/>
    <n v="112"/>
    <n v="75.52"/>
    <n v="36.479999999999997"/>
    <s v="Completed"/>
    <s v="OK"/>
    <s v="OK"/>
  </r>
  <r>
    <s v="ORD0229"/>
    <d v="2025-09-20T00:00:00"/>
    <s v="CUST0080"/>
    <s v="Backpack"/>
    <s v="Accessories"/>
    <x v="2"/>
    <n v="3"/>
    <n v="37.35"/>
    <n v="0"/>
    <n v="112.05"/>
    <n v="87.94"/>
    <n v="24.11"/>
    <s v="Completed"/>
    <s v="OK"/>
    <s v="OK"/>
  </r>
  <r>
    <s v="ORD0243"/>
    <d v="2025-09-23T00:00:00"/>
    <s v="CUST0149"/>
    <s v="Pen Set"/>
    <s v="Stationery"/>
    <x v="2"/>
    <n v="1"/>
    <n v="118.75"/>
    <n v="0.05"/>
    <n v="112.81"/>
    <n v="63.47"/>
    <n v="49.34"/>
    <s v="Completed"/>
    <s v="OK"/>
    <s v="OK"/>
  </r>
  <r>
    <s v="ORD0092"/>
    <d v="2025-12-22T00:00:00"/>
    <s v="CUST0077"/>
    <s v="Planner"/>
    <s v="Stationery"/>
    <x v="1"/>
    <n v="1"/>
    <n v="113.03"/>
    <n v="0"/>
    <n v="113.03"/>
    <n v="81.88"/>
    <n v="31.15"/>
    <s v="Completed"/>
    <s v="OK"/>
    <s v="OK"/>
  </r>
  <r>
    <s v="ORD0238"/>
    <d v="2025-03-10T00:00:00"/>
    <s v="CUST0160"/>
    <s v="Phone Stand"/>
    <s v="Accessories"/>
    <x v="2"/>
    <n v="1"/>
    <n v="113.6"/>
    <n v="0"/>
    <n v="113.6"/>
    <n v="80.150000000000006"/>
    <n v="33.450000000000003"/>
    <s v="Completed"/>
    <s v="OK"/>
    <s v="OK"/>
  </r>
  <r>
    <s v="ORD0102"/>
    <d v="2025-12-31T00:00:00"/>
    <s v="CUST0180"/>
    <s v="Headphones"/>
    <s v="Electronics"/>
    <x v="2"/>
    <n v="2"/>
    <n v="66.84"/>
    <n v="0.15"/>
    <n v="113.63"/>
    <n v="66.27"/>
    <n v="47.36"/>
    <s v="Returned"/>
    <s v="OK"/>
    <s v="OK"/>
  </r>
  <r>
    <s v="ORD0472"/>
    <d v="2025-01-31T00:00:00"/>
    <s v="CUST0119"/>
    <s v="Water Bottle"/>
    <s v="Home"/>
    <x v="1"/>
    <n v="2"/>
    <n v="66.930000000000007"/>
    <n v="0.15"/>
    <n v="113.78"/>
    <n v="67.87"/>
    <n v="45.91"/>
    <s v="Completed"/>
    <s v="OK"/>
    <s v="OK"/>
  </r>
  <r>
    <s v="ORD0372"/>
    <d v="2025-04-18T00:00:00"/>
    <s v="CUST0115"/>
    <s v="Keyboard"/>
    <s v="Electronics"/>
    <x v="3"/>
    <n v="3"/>
    <n v="38.29"/>
    <n v="0"/>
    <n v="114.87"/>
    <n v="63.63"/>
    <n v="51.24"/>
    <s v="Returned"/>
    <s v="OK"/>
    <s v="OK"/>
  </r>
  <r>
    <s v="ORD0235"/>
    <d v="2025-08-09T00:00:00"/>
    <s v="CUST0180"/>
    <s v="Water Bottle"/>
    <s v="Home"/>
    <x v="3"/>
    <n v="2"/>
    <n v="63.84"/>
    <n v="0.1"/>
    <n v="114.91"/>
    <n v="79.61"/>
    <n v="35.299999999999997"/>
    <s v="Completed"/>
    <s v="OK"/>
    <s v="OK"/>
  </r>
  <r>
    <s v="ORD0336"/>
    <d v="2025-04-23T00:00:00"/>
    <s v="CUST0071"/>
    <s v="Pen Set"/>
    <s v="Stationery"/>
    <x v="0"/>
    <n v="1"/>
    <n v="144.46"/>
    <n v="0.2"/>
    <n v="115.57"/>
    <n v="70.52"/>
    <n v="45.05"/>
    <s v="Completed"/>
    <s v="OK"/>
    <s v="OK"/>
  </r>
  <r>
    <s v="ORD0002"/>
    <d v="2025-10-21T00:00:00"/>
    <s v="CUST0130"/>
    <s v="Notebook"/>
    <s v="Stationery"/>
    <x v="2"/>
    <n v="4"/>
    <n v="32.57"/>
    <n v="0.1"/>
    <n v="117.25"/>
    <n v="66.47"/>
    <n v="50.78"/>
    <s v="Returned"/>
    <s v="OK"/>
    <s v="OK"/>
  </r>
  <r>
    <s v="ORD0378"/>
    <d v="2025-04-23T00:00:00"/>
    <s v="CUST0103"/>
    <s v="Wireless Mouse"/>
    <s v="Electronics"/>
    <x v="1"/>
    <n v="1"/>
    <n v="117.3"/>
    <n v="0"/>
    <n v="117.3"/>
    <n v="65.66"/>
    <n v="51.64"/>
    <s v="Completed"/>
    <s v="OK"/>
    <s v="OK"/>
  </r>
  <r>
    <s v="ORD0309"/>
    <d v="2025-06-24T00:00:00"/>
    <s v="CUST0084"/>
    <s v="Desk Lamp"/>
    <s v="Home"/>
    <x v="0"/>
    <n v="1"/>
    <n v="117.46"/>
    <n v="0"/>
    <n v="117.46"/>
    <n v="73.680000000000007"/>
    <n v="43.78"/>
    <s v="Completed"/>
    <s v="OK"/>
    <s v="OK"/>
  </r>
  <r>
    <s v="ORD0142"/>
    <d v="2025-03-14T00:00:00"/>
    <s v="CUST0143"/>
    <s v="Keyboard"/>
    <s v="Electronics"/>
    <x v="3"/>
    <n v="2"/>
    <n v="58.96"/>
    <n v="0"/>
    <n v="117.92"/>
    <n v="66.349999999999994"/>
    <n v="51.57"/>
    <s v="Completed"/>
    <s v="OK"/>
    <s v="OK"/>
  </r>
  <r>
    <s v="ORD0338"/>
    <d v="2025-10-17T00:00:00"/>
    <s v="CUST0174"/>
    <s v="Sticky Notes"/>
    <s v="Stationery"/>
    <x v="0"/>
    <n v="1"/>
    <n v="139.77000000000001"/>
    <n v="0.15"/>
    <n v="118.8"/>
    <n v="87.21"/>
    <n v="31.59"/>
    <s v="Completed"/>
    <s v="OK"/>
    <s v="OK"/>
  </r>
  <r>
    <s v="ORD0241"/>
    <d v="2025-02-07T00:00:00"/>
    <s v="CUST0111"/>
    <s v="Laptop Sleeve"/>
    <s v="Accessories"/>
    <x v="2"/>
    <n v="3"/>
    <n v="39.85"/>
    <n v="0"/>
    <n v="119.55"/>
    <n v="69.28"/>
    <n v="50.27"/>
    <s v="Completed"/>
    <s v="OK"/>
    <s v="OK"/>
  </r>
  <r>
    <s v="ORD0219"/>
    <d v="2025-09-29T00:00:00"/>
    <s v="CUST0038"/>
    <s v="Keyboard"/>
    <s v="Electronics"/>
    <x v="2"/>
    <n v="5"/>
    <n v="23.98"/>
    <n v="0"/>
    <n v="119.9"/>
    <n v="94.29"/>
    <n v="25.61"/>
    <s v="Completed"/>
    <s v="OK"/>
    <s v="OK"/>
  </r>
  <r>
    <s v="ORD0436"/>
    <d v="2025-03-27T00:00:00"/>
    <s v="CUST0080"/>
    <s v="Sticky Notes"/>
    <s v="Stationery"/>
    <x v="3"/>
    <n v="1"/>
    <n v="133.79"/>
    <n v="0.1"/>
    <n v="120.41"/>
    <n v="93.41"/>
    <n v="27"/>
    <s v="Cancelled"/>
    <s v="OK"/>
    <s v="OK"/>
  </r>
  <r>
    <s v="ORD0130"/>
    <d v="2025-12-31T00:00:00"/>
    <s v="CUST0154"/>
    <s v="Planner"/>
    <s v="Stationery"/>
    <x v="0"/>
    <n v="4"/>
    <n v="35.869999999999997"/>
    <n v="0.15"/>
    <n v="121.96"/>
    <n v="98.05"/>
    <n v="23.91"/>
    <s v="Completed"/>
    <s v="OK"/>
    <s v="OK"/>
  </r>
  <r>
    <s v="ORD0406"/>
    <d v="2025-10-07T00:00:00"/>
    <s v="CUST0074"/>
    <s v="Laptop Sleeve"/>
    <s v="Accessories"/>
    <x v="0"/>
    <n v="3"/>
    <n v="43.32"/>
    <n v="0.05"/>
    <n v="123.46"/>
    <n v="77.849999999999994"/>
    <n v="45.61"/>
    <s v="Returned"/>
    <s v="OK"/>
    <s v="OK"/>
  </r>
  <r>
    <s v="ORD0266"/>
    <d v="2025-04-16T00:00:00"/>
    <s v="CUST0158"/>
    <s v="Sticky Notes"/>
    <s v="Stationery"/>
    <x v="0"/>
    <n v="1"/>
    <n v="137.24"/>
    <n v="0.1"/>
    <n v="123.52"/>
    <n v="103.38"/>
    <n v="20.14"/>
    <s v="Returned"/>
    <s v="OK"/>
    <s v="OK"/>
  </r>
  <r>
    <s v="ORD0438"/>
    <d v="2025-08-27T00:00:00"/>
    <s v="CUST0104"/>
    <s v="Keyboard"/>
    <s v="Electronics"/>
    <x v="2"/>
    <n v="1"/>
    <n v="146.21"/>
    <n v="0.15"/>
    <n v="124.28"/>
    <n v="75.94"/>
    <n v="48.34"/>
    <s v="Returned"/>
    <s v="OK"/>
    <s v="OK"/>
  </r>
  <r>
    <s v="ORD0484"/>
    <d v="2025-06-05T00:00:00"/>
    <s v="CUST0016"/>
    <s v="Water Bottle"/>
    <s v="Home"/>
    <x v="1"/>
    <n v="3"/>
    <n v="48.96"/>
    <n v="0.15"/>
    <n v="124.85"/>
    <n v="86.2"/>
    <n v="38.65"/>
    <s v="Completed"/>
    <s v="OK"/>
    <s v="OK"/>
  </r>
  <r>
    <s v="ORD0440"/>
    <d v="2025-03-03T00:00:00"/>
    <s v="CUST0132"/>
    <s v="Headphones"/>
    <s v="Electronics"/>
    <x v="1"/>
    <n v="2"/>
    <n v="63.24"/>
    <n v="0"/>
    <n v="126.48"/>
    <n v="82.86"/>
    <n v="43.62"/>
    <s v="Completed"/>
    <s v="OK"/>
    <s v="OK"/>
  </r>
  <r>
    <s v="ORD0058"/>
    <d v="2025-06-14T00:00:00"/>
    <s v="CUST0166"/>
    <s v="USB Hub"/>
    <s v="Electronics"/>
    <x v="1"/>
    <n v="2"/>
    <n v="76.22"/>
    <n v="0.15"/>
    <n v="129.57"/>
    <n v="76.959999999999994"/>
    <n v="52.61"/>
    <s v="Cancelled"/>
    <s v="OK"/>
    <s v="OK"/>
  </r>
  <r>
    <s v="ORD0488"/>
    <d v="2025-08-25T00:00:00"/>
    <s v="CUST0136"/>
    <s v="Office Chair"/>
    <s v="Home"/>
    <x v="2"/>
    <n v="1"/>
    <n v="144.91"/>
    <n v="0.1"/>
    <n v="130.41999999999999"/>
    <n v="80.16"/>
    <n v="50.26"/>
    <s v="Returned"/>
    <s v="OK"/>
    <s v="OK"/>
  </r>
  <r>
    <s v="ORD0354"/>
    <d v="2025-08-04T00:00:00"/>
    <s v="CUST0008"/>
    <s v="Water Bottle"/>
    <s v="Home"/>
    <x v="1"/>
    <n v="1"/>
    <n v="144.94999999999999"/>
    <n v="0.1"/>
    <n v="130.44999999999999"/>
    <n v="73.150000000000006"/>
    <n v="57.3"/>
    <s v="Completed"/>
    <s v="Mismatch"/>
    <s v="OK"/>
  </r>
  <r>
    <s v="ORD0178"/>
    <d v="2025-11-01T00:00:00"/>
    <s v="CUST0094"/>
    <s v="Office Chair"/>
    <s v="Home"/>
    <x v="3"/>
    <n v="3"/>
    <n v="45.94"/>
    <n v="0.05"/>
    <n v="130.93"/>
    <n v="80.010000000000005"/>
    <n v="50.92"/>
    <s v="Returned"/>
    <s v="OK"/>
    <s v="OK"/>
  </r>
  <r>
    <s v="ORD0468"/>
    <d v="2025-04-08T00:00:00"/>
    <s v="CUST0178"/>
    <s v="Notebook"/>
    <s v="Stationery"/>
    <x v="1"/>
    <n v="1"/>
    <n v="154.63999999999999"/>
    <n v="0.15"/>
    <n v="131.44"/>
    <n v="75.650000000000006"/>
    <n v="55.79"/>
    <s v="Completed"/>
    <s v="OK"/>
    <s v="OK"/>
  </r>
  <r>
    <s v="ORD0162"/>
    <d v="2025-01-21T00:00:00"/>
    <s v="CUST0047"/>
    <s v="Water Bottle"/>
    <s v="Home"/>
    <x v="2"/>
    <n v="3"/>
    <n v="55"/>
    <n v="0.2"/>
    <n v="132"/>
    <n v="78.58"/>
    <n v="53.42"/>
    <s v="Returned"/>
    <s v="OK"/>
    <s v="OK"/>
  </r>
  <r>
    <s v="ORD0013"/>
    <d v="2025-07-26T00:00:00"/>
    <s v="CUST0015"/>
    <s v="Office Chair"/>
    <s v="Home"/>
    <x v="0"/>
    <n v="1"/>
    <n v="132.13999999999999"/>
    <n v="0"/>
    <n v="132.13999999999999"/>
    <n v="82.83"/>
    <n v="49.31"/>
    <s v="Completed"/>
    <s v="OK"/>
    <s v="OK"/>
  </r>
  <r>
    <s v="ORD0065"/>
    <d v="2025-06-05T00:00:00"/>
    <s v="CUST0117"/>
    <s v="Planner"/>
    <s v="Stationery"/>
    <x v="2"/>
    <n v="1"/>
    <n v="165.42"/>
    <n v="0.2"/>
    <n v="132.34"/>
    <n v="75.08"/>
    <n v="57.26"/>
    <s v="Returned"/>
    <s v="OK"/>
    <s v="OK"/>
  </r>
  <r>
    <s v="ORD0422"/>
    <d v="2025-04-12T00:00:00"/>
    <s v="CUST0038"/>
    <s v="Sticky Notes"/>
    <s v="Stationery"/>
    <x v="3"/>
    <n v="1"/>
    <n v="139.47999999999999"/>
    <n v="0.05"/>
    <n v="132.51"/>
    <n v="98.93"/>
    <n v="33.58"/>
    <s v="Completed"/>
    <s v="OK"/>
    <s v="OK"/>
  </r>
  <r>
    <s v="ORD0115"/>
    <d v="2025-06-11T00:00:00"/>
    <s v="CUST0124"/>
    <s v="Office Chair"/>
    <s v="Home"/>
    <x v="3"/>
    <n v="4"/>
    <n v="39.29"/>
    <n v="0.15"/>
    <n v="133.59"/>
    <n v="111.39"/>
    <n v="22.2"/>
    <s v="Completed"/>
    <s v="OK"/>
    <s v="OK"/>
  </r>
  <r>
    <s v="ORD0118"/>
    <d v="2025-06-14T00:00:00"/>
    <s v="CUST0142"/>
    <s v="Pen Set"/>
    <s v="Stationery"/>
    <x v="1"/>
    <n v="3"/>
    <n v="49.83"/>
    <n v="0.1"/>
    <n v="134.54"/>
    <n v="108.53"/>
    <n v="26.01"/>
    <s v="Completed"/>
    <s v="OK"/>
    <s v="OK"/>
  </r>
  <r>
    <s v="ORD0069"/>
    <d v="2025-12-07T00:00:00"/>
    <s v="CUST0026"/>
    <s v="Cable Organizer"/>
    <s v="Accessories"/>
    <x v="1"/>
    <n v="1"/>
    <n v="141.75"/>
    <n v="0.05"/>
    <n v="134.66"/>
    <n v="113.87"/>
    <n v="20.79"/>
    <s v="Completed"/>
    <s v="OK"/>
    <s v="OK"/>
  </r>
  <r>
    <s v="ORD0255"/>
    <d v="2025-06-03T00:00:00"/>
    <s v="CUST0037"/>
    <s v="Backpack"/>
    <s v="Accessories"/>
    <x v="0"/>
    <n v="2"/>
    <n v="71.349999999999994"/>
    <n v="0.05"/>
    <n v="135.56"/>
    <n v="103.92"/>
    <n v="31.64"/>
    <s v="Completed"/>
    <s v="OK"/>
    <s v="OK"/>
  </r>
  <r>
    <s v="ORD0430"/>
    <d v="2025-08-22T00:00:00"/>
    <s v="CUST0028"/>
    <s v="Phone Stand"/>
    <s v="Accessories"/>
    <x v="1"/>
    <n v="2"/>
    <n v="68.930000000000007"/>
    <n v="0"/>
    <n v="137.86000000000001"/>
    <n v="85.02"/>
    <n v="52.84"/>
    <s v="Completed"/>
    <s v="OK"/>
    <s v="OK"/>
  </r>
  <r>
    <s v="ORD0258"/>
    <d v="2025-06-01T00:00:00"/>
    <s v="CUST0109"/>
    <s v="Storage Box"/>
    <s v="Home"/>
    <x v="2"/>
    <n v="3"/>
    <n v="54.41"/>
    <n v="0.15"/>
    <n v="138.75"/>
    <n v="97.05"/>
    <n v="41.7"/>
    <s v="Completed"/>
    <s v="OK"/>
    <s v="OK"/>
  </r>
  <r>
    <s v="ORD0251"/>
    <d v="2025-12-30T00:00:00"/>
    <s v="CUST0005"/>
    <s v="Cable Organizer"/>
    <s v="Accessories"/>
    <x v="1"/>
    <n v="1"/>
    <n v="138.91"/>
    <n v="0"/>
    <n v="138.91"/>
    <n v="95.63"/>
    <n v="43.28"/>
    <s v="Completed"/>
    <s v="OK"/>
    <s v="OK"/>
  </r>
  <r>
    <s v="ORD0192"/>
    <d v="2025-12-07T00:00:00"/>
    <s v="CUST0129"/>
    <s v="Pen Set"/>
    <s v="Stationery"/>
    <x v="1"/>
    <n v="5"/>
    <n v="32.69"/>
    <n v="0.15"/>
    <n v="138.93"/>
    <n v="106.96"/>
    <n v="31.97"/>
    <s v="Completed"/>
    <s v="OK"/>
    <s v="OK"/>
  </r>
  <r>
    <s v="ORD0435"/>
    <d v="2025-04-27T00:00:00"/>
    <s v="CUST0160"/>
    <s v="Keyboard"/>
    <s v="Electronics"/>
    <x v="0"/>
    <n v="1"/>
    <n v="155.46"/>
    <n v="0.1"/>
    <n v="139.91"/>
    <n v="94.08"/>
    <n v="45.83"/>
    <s v="Cancelled"/>
    <s v="OK"/>
    <s v="OK"/>
  </r>
  <r>
    <s v="ORD0427"/>
    <d v="2025-11-09T00:00:00"/>
    <s v="CUST0127"/>
    <s v="Phone Stand"/>
    <s v="Accessories"/>
    <x v="0"/>
    <n v="1"/>
    <n v="155.72"/>
    <n v="0.1"/>
    <n v="140.15"/>
    <n v="112.31"/>
    <n v="27.84"/>
    <s v="Completed"/>
    <s v="OK"/>
    <s v="OK"/>
  </r>
  <r>
    <s v="ORD0169"/>
    <d v="2025-03-29T00:00:00"/>
    <s v="CUST0041"/>
    <s v="Backpack"/>
    <s v="Accessories"/>
    <x v="3"/>
    <n v="1"/>
    <n v="155.94"/>
    <n v="0.1"/>
    <n v="140.35"/>
    <n v="78.86"/>
    <n v="61.49"/>
    <s v="Completed"/>
    <s v="OK"/>
    <s v="OK"/>
  </r>
  <r>
    <s v="ORD0185"/>
    <d v="2025-01-10T00:00:00"/>
    <s v="CUST0118"/>
    <s v="Wireless Mouse"/>
    <s v="Electronics"/>
    <x v="0"/>
    <n v="1"/>
    <n v="141.04"/>
    <n v="0"/>
    <n v="141.04"/>
    <n v="118.61"/>
    <n v="22.43"/>
    <s v="Completed"/>
    <s v="OK"/>
    <s v="OK"/>
  </r>
  <r>
    <s v="ORD0165"/>
    <d v="2025-07-18T00:00:00"/>
    <s v="CUST0131"/>
    <s v="Pen Set"/>
    <s v="Stationery"/>
    <x v="3"/>
    <n v="1"/>
    <n v="157.4"/>
    <n v="0.1"/>
    <n v="141.66"/>
    <n v="110.68"/>
    <n v="30.98"/>
    <s v="Completed"/>
    <s v="OK"/>
    <s v="OK"/>
  </r>
  <r>
    <s v="ORD0196"/>
    <d v="2025-11-20T00:00:00"/>
    <s v="CUST0098"/>
    <s v="Wireless Mouse"/>
    <s v="Electronics"/>
    <x v="3"/>
    <n v="1"/>
    <n v="157.77000000000001"/>
    <n v="0.1"/>
    <n v="141.99"/>
    <n v="102.25"/>
    <n v="39.74"/>
    <s v="Completed"/>
    <s v="OK"/>
    <s v="OK"/>
  </r>
  <r>
    <s v="ORD0302"/>
    <d v="2025-07-29T00:00:00"/>
    <s v="CUST0145"/>
    <s v="Water Bottle"/>
    <s v="Home"/>
    <x v="3"/>
    <n v="2"/>
    <n v="89.34"/>
    <n v="0.2"/>
    <n v="142.94"/>
    <n v="90.15"/>
    <n v="52.79"/>
    <s v="Completed"/>
    <s v="OK"/>
    <s v="OK"/>
  </r>
  <r>
    <s v="ORD0480"/>
    <d v="2025-03-17T00:00:00"/>
    <s v="CUST0177"/>
    <s v="Keyboard"/>
    <s v="Electronics"/>
    <x v="1"/>
    <n v="1"/>
    <n v="143.13"/>
    <n v="0"/>
    <n v="143.13"/>
    <n v="119.04"/>
    <n v="24.09"/>
    <s v="Completed"/>
    <s v="OK"/>
    <s v="OK"/>
  </r>
  <r>
    <s v="ORD0379"/>
    <d v="2025-03-23T00:00:00"/>
    <s v="CUST0068"/>
    <s v="Storage Box"/>
    <s v="Home"/>
    <x v="3"/>
    <n v="1"/>
    <n v="143.46"/>
    <n v="0"/>
    <n v="143.46"/>
    <n v="103.18"/>
    <n v="40.28"/>
    <s v="Completed"/>
    <s v="OK"/>
    <s v="OK"/>
  </r>
  <r>
    <s v="ORD0044"/>
    <d v="2025-10-12T00:00:00"/>
    <s v="CUST0069"/>
    <s v="Headphones"/>
    <s v="Electronics"/>
    <x v="1"/>
    <n v="3"/>
    <n v="50.61"/>
    <n v="0.05"/>
    <n v="144.24"/>
    <n v="112.13"/>
    <n v="32.11"/>
    <s v="Completed"/>
    <s v="OK"/>
    <s v="OK"/>
  </r>
  <r>
    <s v="ORD0419"/>
    <d v="2025-09-15T00:00:00"/>
    <s v="CUST0058"/>
    <s v="Sticky Notes"/>
    <s v="Stationery"/>
    <x v="1"/>
    <n v="1"/>
    <n v="162"/>
    <n v="0.1"/>
    <n v="145.80000000000001"/>
    <n v="114.63"/>
    <n v="31.17"/>
    <s v="Cancelled"/>
    <s v="OK"/>
    <s v="OK"/>
  </r>
  <r>
    <s v="ORD0376"/>
    <d v="2025-06-04T00:00:00"/>
    <s v="CUST0121"/>
    <s v="Pen Set"/>
    <s v="Stationery"/>
    <x v="3"/>
    <n v="4"/>
    <n v="38.6"/>
    <n v="0.05"/>
    <n v="146.68"/>
    <n v="116.24"/>
    <n v="30.44"/>
    <s v="Cancelled"/>
    <s v="OK"/>
    <s v="OK"/>
  </r>
  <r>
    <s v="ORD0267"/>
    <d v="2025-08-05T00:00:00"/>
    <s v="CUST0070"/>
    <s v="Planner"/>
    <s v="Stationery"/>
    <x v="2"/>
    <n v="3"/>
    <n v="55.41"/>
    <n v="0.1"/>
    <n v="149.61000000000001"/>
    <n v="126.04"/>
    <n v="23.57"/>
    <s v="Completed"/>
    <s v="OK"/>
    <s v="OK"/>
  </r>
  <r>
    <s v="ORD0154"/>
    <d v="2025-06-07T00:00:00"/>
    <s v="CUST0039"/>
    <s v="Backpack"/>
    <s v="Accessories"/>
    <x v="1"/>
    <n v="2"/>
    <n v="88.06"/>
    <n v="0.15"/>
    <n v="149.69999999999999"/>
    <n v="82.57"/>
    <n v="67.13"/>
    <s v="Completed"/>
    <s v="OK"/>
    <s v="OK"/>
  </r>
  <r>
    <s v="ORD0332"/>
    <d v="2025-06-12T00:00:00"/>
    <s v="CUST0048"/>
    <s v="Office Chair"/>
    <s v="Home"/>
    <x v="1"/>
    <n v="2"/>
    <n v="84.27"/>
    <n v="0.1"/>
    <n v="151.69"/>
    <n v="110.34"/>
    <n v="41.35"/>
    <s v="Cancelled"/>
    <s v="OK"/>
    <s v="OK"/>
  </r>
  <r>
    <s v="ORD0085"/>
    <d v="2025-05-25T00:00:00"/>
    <s v="CUST0013"/>
    <s v="Pen Set"/>
    <s v="Stationery"/>
    <x v="2"/>
    <n v="1"/>
    <n v="152.6"/>
    <n v="0"/>
    <n v="152.6"/>
    <n v="108.44"/>
    <n v="44.16"/>
    <s v="Completed"/>
    <s v="OK"/>
    <s v="OK"/>
  </r>
  <r>
    <s v="ORD0237"/>
    <d v="2025-10-11T00:00:00"/>
    <s v="CUST0034"/>
    <s v="Notebook"/>
    <s v="Stationery"/>
    <x v="2"/>
    <n v="1"/>
    <n v="152.63"/>
    <n v="0"/>
    <n v="152.63"/>
    <n v="125.24"/>
    <n v="27.39"/>
    <s v="Cancelled"/>
    <s v="OK"/>
    <s v="OK"/>
  </r>
  <r>
    <s v="ORD0045"/>
    <d v="2025-02-08T00:00:00"/>
    <s v="CUST0100"/>
    <s v="Keyboard"/>
    <s v="Electronics"/>
    <x v="3"/>
    <n v="4"/>
    <n v="38.159999999999997"/>
    <n v="0"/>
    <n v="152.63999999999999"/>
    <n v="118.91"/>
    <n v="33.729999999999997"/>
    <s v="Cancelled"/>
    <s v="OK"/>
    <s v="OK"/>
  </r>
  <r>
    <s v="ORD0110"/>
    <d v="2025-12-30T00:00:00"/>
    <s v="CUST0179"/>
    <s v="Storage Box"/>
    <s v="Home"/>
    <x v="0"/>
    <n v="2"/>
    <n v="90.7"/>
    <n v="0.15"/>
    <n v="154.19"/>
    <n v="111.96"/>
    <n v="42.23"/>
    <s v="Completed"/>
    <s v="OK"/>
    <s v="OK"/>
  </r>
  <r>
    <s v="ORD0160"/>
    <d v="2025-10-12T00:00:00"/>
    <s v="CUST0004"/>
    <s v="Cable Organizer"/>
    <s v="Accessories"/>
    <x v="3"/>
    <n v="3"/>
    <n v="51.43"/>
    <n v="0"/>
    <n v="154.29"/>
    <n v="92.22"/>
    <n v="62.07"/>
    <s v="Completed"/>
    <s v="OK"/>
    <s v="OK"/>
  </r>
  <r>
    <s v="ORD0143"/>
    <d v="2025-07-17T00:00:00"/>
    <s v="CUST0039"/>
    <s v="USB Hub"/>
    <s v="Electronics"/>
    <x v="2"/>
    <n v="4"/>
    <n v="45.54"/>
    <n v="0.15"/>
    <n v="154.84"/>
    <n v="121.69"/>
    <n v="33.15"/>
    <s v="Completed"/>
    <s v="OK"/>
    <s v="OK"/>
  </r>
  <r>
    <s v="ORD0240"/>
    <d v="2025-05-19T00:00:00"/>
    <s v="CUST0180"/>
    <s v="Cable Organizer"/>
    <s v="Accessories"/>
    <x v="1"/>
    <n v="1"/>
    <n v="172.52"/>
    <n v="0.1"/>
    <n v="155.27000000000001"/>
    <n v="101.85"/>
    <n v="53.42"/>
    <s v="Returned"/>
    <s v="OK"/>
    <s v="OK"/>
  </r>
  <r>
    <s v="ORD0168"/>
    <d v="2025-04-05T00:00:00"/>
    <s v="CUST0166"/>
    <s v="Planner"/>
    <s v="Stationery"/>
    <x v="2"/>
    <n v="5"/>
    <n v="33.729999999999997"/>
    <n v="0.05"/>
    <n v="160.22"/>
    <n v="120.83"/>
    <n v="39.39"/>
    <s v="Completed"/>
    <s v="OK"/>
    <s v="OK"/>
  </r>
  <r>
    <s v="ORD0137"/>
    <d v="2025-04-18T00:00:00"/>
    <s v="CUST0045"/>
    <s v="Water Bottle"/>
    <s v="Home"/>
    <x v="0"/>
    <n v="3"/>
    <n v="62.89"/>
    <n v="0.15"/>
    <n v="160.37"/>
    <n v="89.98"/>
    <n v="70.39"/>
    <s v="Completed"/>
    <s v="OK"/>
    <s v="OK"/>
  </r>
  <r>
    <s v="ORD0437"/>
    <d v="2025-09-28T00:00:00"/>
    <s v="CUST0131"/>
    <s v="Cable Organizer"/>
    <s v="Accessories"/>
    <x v="1"/>
    <n v="3"/>
    <n v="57.11"/>
    <n v="0.05"/>
    <n v="162.76"/>
    <n v="114.45"/>
    <n v="48.31"/>
    <s v="Completed"/>
    <s v="OK"/>
    <s v="OK"/>
  </r>
  <r>
    <s v="ORD0382"/>
    <d v="2025-02-09T00:00:00"/>
    <s v="CUST0133"/>
    <s v="Backpack"/>
    <s v="Accessories"/>
    <x v="3"/>
    <n v="3"/>
    <n v="64.13"/>
    <n v="0.15"/>
    <n v="163.53"/>
    <n v="97"/>
    <n v="66.53"/>
    <s v="Completed"/>
    <s v="OK"/>
    <s v="OK"/>
  </r>
  <r>
    <s v="ORD0093"/>
    <d v="2025-01-13T00:00:00"/>
    <s v="CUST0168"/>
    <s v="Backpack"/>
    <s v="Accessories"/>
    <x v="0"/>
    <n v="2"/>
    <n v="86.13"/>
    <n v="0.05"/>
    <n v="163.65"/>
    <n v="116.96"/>
    <n v="46.69"/>
    <s v="Completed"/>
    <s v="OK"/>
    <s v="OK"/>
  </r>
  <r>
    <s v="ORD0358"/>
    <d v="2025-08-16T00:00:00"/>
    <s v="CUST0122"/>
    <s v="Phone Stand"/>
    <s v="Accessories"/>
    <x v="2"/>
    <n v="1"/>
    <n v="163.84"/>
    <n v="0"/>
    <n v="163.84"/>
    <n v="125.74"/>
    <n v="38.1"/>
    <s v="Completed"/>
    <s v="OK"/>
    <s v="OK"/>
  </r>
  <r>
    <s v="ORD0254"/>
    <d v="2025-08-11T00:00:00"/>
    <s v="CUST0070"/>
    <s v="Storage Box"/>
    <s v="Home"/>
    <x v="2"/>
    <n v="1"/>
    <n v="172.79"/>
    <n v="0.05"/>
    <n v="164.15"/>
    <n v="106.38"/>
    <n v="57.77"/>
    <s v="Completed"/>
    <s v="OK"/>
    <s v="OK"/>
  </r>
  <r>
    <s v="ORD0470"/>
    <d v="2025-04-20T00:00:00"/>
    <s v="CUST0136"/>
    <s v="Keyboard"/>
    <s v="Electronics"/>
    <x v="3"/>
    <n v="1"/>
    <n v="174.45"/>
    <n v="0.05"/>
    <n v="165.73"/>
    <n v="104.99"/>
    <n v="60.74"/>
    <s v="Completed"/>
    <s v="OK"/>
    <s v="OK"/>
  </r>
  <r>
    <s v="ORD0355"/>
    <d v="2025-12-22T00:00:00"/>
    <s v="CUST0021"/>
    <s v="Pen Set"/>
    <s v="Stationery"/>
    <x v="2"/>
    <n v="3"/>
    <n v="62.29"/>
    <n v="0.1"/>
    <n v="168.18"/>
    <n v="112.43"/>
    <n v="55.75"/>
    <s v="Completed"/>
    <s v="OK"/>
    <s v="OK"/>
  </r>
  <r>
    <s v="ORD0026"/>
    <d v="2025-02-06T00:00:00"/>
    <s v="CUST0160"/>
    <s v="USB Hub"/>
    <s v="Electronics"/>
    <x v="1"/>
    <n v="4"/>
    <n v="52.86"/>
    <n v="0.2"/>
    <n v="169.15"/>
    <n v="142.02000000000001"/>
    <n v="27.13"/>
    <s v="Cancelled"/>
    <s v="OK"/>
    <s v="OK"/>
  </r>
  <r>
    <s v="ORD0135"/>
    <d v="2025-10-09T00:00:00"/>
    <s v="CUST0086"/>
    <s v="Phone Stand"/>
    <s v="Accessories"/>
    <x v="0"/>
    <n v="1"/>
    <n v="170.38"/>
    <n v="0"/>
    <n v="170.38"/>
    <n v="129.77000000000001"/>
    <n v="40.61"/>
    <s v="Completed"/>
    <s v="OK"/>
    <s v="OK"/>
  </r>
  <r>
    <s v="ORD0481"/>
    <d v="2025-09-07T00:00:00"/>
    <s v="CUST0084"/>
    <s v="Backpack"/>
    <s v="Accessories"/>
    <x v="1"/>
    <n v="5"/>
    <n v="38.119999999999997"/>
    <n v="0.1"/>
    <n v="171.54"/>
    <n v="105.69"/>
    <n v="65.849999999999994"/>
    <s v="Cancelled"/>
    <s v="OK"/>
    <s v="OK"/>
  </r>
  <r>
    <s v="ORD0099"/>
    <d v="2025-07-17T00:00:00"/>
    <s v="CUST0134"/>
    <s v="Laptop Sleeve"/>
    <s v="Accessories"/>
    <x v="1"/>
    <n v="2"/>
    <n v="101.49"/>
    <n v="0.15"/>
    <n v="172.53"/>
    <n v="127.2"/>
    <n v="45.33"/>
    <s v="Completed"/>
    <s v="OK"/>
    <s v="OK"/>
  </r>
  <r>
    <s v="ORD0485"/>
    <d v="2025-08-09T00:00:00"/>
    <s v="CUST0094"/>
    <s v="Storage Box"/>
    <s v="Home"/>
    <x v="0"/>
    <n v="2"/>
    <n v="96.22"/>
    <n v="0.1"/>
    <n v="173.2"/>
    <n v="143.85"/>
    <n v="29.35"/>
    <s v="Completed"/>
    <s v="OK"/>
    <s v="OK"/>
  </r>
  <r>
    <s v="ORD0148"/>
    <d v="2025-11-19T00:00:00"/>
    <s v="CUST0123"/>
    <s v="Headphones"/>
    <s v="Electronics"/>
    <x v="2"/>
    <n v="1"/>
    <n v="109.99"/>
    <n v="0.1"/>
    <n v="173.99"/>
    <n v="57.16"/>
    <n v="41.83"/>
    <s v="Completed"/>
    <s v="Mismatch"/>
    <s v="Mismatch"/>
  </r>
  <r>
    <s v="ORD0331"/>
    <d v="2025-07-22T00:00:00"/>
    <s v="CUST0179"/>
    <s v="Office Chair"/>
    <s v="Home"/>
    <x v="3"/>
    <n v="2"/>
    <n v="92.52"/>
    <n v="0.05"/>
    <n v="175.79"/>
    <n v="126.36"/>
    <n v="49.43"/>
    <s v="Completed"/>
    <s v="OK"/>
    <s v="OK"/>
  </r>
  <r>
    <s v="ORD0036"/>
    <d v="2025-10-26T00:00:00"/>
    <s v="CUST0176"/>
    <s v="Phone Stand"/>
    <s v="Accessories"/>
    <x v="1"/>
    <n v="3"/>
    <n v="58.79"/>
    <n v="0"/>
    <n v="176.37"/>
    <n v="141.91"/>
    <n v="34.46"/>
    <s v="Completed"/>
    <s v="OK"/>
    <s v="OK"/>
  </r>
  <r>
    <s v="ORD0004"/>
    <d v="2025-11-03T00:00:00"/>
    <s v="CUST0135"/>
    <s v="Sticky Notes"/>
    <s v="Stationery"/>
    <x v="3"/>
    <n v="3"/>
    <n v="73.78"/>
    <n v="0.2"/>
    <n v="177.07"/>
    <n v="122.18"/>
    <n v="54.89"/>
    <s v="Cancelled"/>
    <s v="OK"/>
    <s v="OK"/>
  </r>
  <r>
    <s v="ORD0431"/>
    <d v="2025-05-17T00:00:00"/>
    <s v="CUST0175"/>
    <s v="Office Chair"/>
    <s v="Home"/>
    <x v="3"/>
    <n v="3"/>
    <n v="65.739999999999995"/>
    <n v="0.1"/>
    <n v="177.5"/>
    <n v="128.08000000000001"/>
    <n v="49.42"/>
    <s v="Completed"/>
    <s v="OK"/>
    <s v="OK"/>
  </r>
  <r>
    <s v="ORD0211"/>
    <d v="2025-02-11T00:00:00"/>
    <s v="CUST0118"/>
    <s v="Keyboard"/>
    <s v="Electronics"/>
    <x v="3"/>
    <n v="1"/>
    <n v="177.9"/>
    <n v="0"/>
    <n v="177.9"/>
    <n v="134.94"/>
    <n v="42.96"/>
    <s v="Completed"/>
    <s v="OK"/>
    <s v="OK"/>
  </r>
  <r>
    <s v="ORD0001"/>
    <d v="2025-08-03T00:00:00"/>
    <s v="CUST0075"/>
    <s v="Cable Organizer"/>
    <s v="Accessories"/>
    <x v="1"/>
    <n v="5"/>
    <n v="39.549999999999997"/>
    <n v="0.1"/>
    <n v="177.98"/>
    <n v="129.76"/>
    <n v="48.22"/>
    <s v="Completed"/>
    <s v="OK"/>
    <s v="OK"/>
  </r>
  <r>
    <s v="ORD0073"/>
    <d v="2025-09-25T00:00:00"/>
    <s v="CUST0054"/>
    <s v="Cable Organizer"/>
    <s v="Accessories"/>
    <x v="2"/>
    <n v="2"/>
    <n v="93.68"/>
    <n v="0.05"/>
    <n v="177.99"/>
    <n v="142.29"/>
    <n v="35.700000000000003"/>
    <s v="Completed"/>
    <s v="OK"/>
    <s v="OK"/>
  </r>
  <r>
    <s v="ORD0420"/>
    <d v="2025-01-18T00:00:00"/>
    <s v="CUST0098"/>
    <s v="Cable Organizer"/>
    <s v="Accessories"/>
    <x v="1"/>
    <n v="2"/>
    <n v="93.9"/>
    <n v="0.05"/>
    <n v="178.41"/>
    <n v="105.85"/>
    <n v="72.56"/>
    <s v="Returned"/>
    <s v="OK"/>
    <s v="OK"/>
  </r>
  <r>
    <s v="ORD0158"/>
    <d v="2025-11-02T00:00:00"/>
    <s v="CUST0014"/>
    <s v="Desk Lamp"/>
    <s v="Home"/>
    <x v="2"/>
    <n v="2"/>
    <n v="89.45"/>
    <n v="0"/>
    <n v="178.9"/>
    <n v="102.4"/>
    <n v="76.5"/>
    <s v="Completed"/>
    <s v="OK"/>
    <s v="OK"/>
  </r>
  <r>
    <s v="ORD0222"/>
    <d v="2025-10-18T00:00:00"/>
    <s v="CUST0158"/>
    <s v="USB Hub"/>
    <s v="Electronics"/>
    <x v="2"/>
    <n v="2"/>
    <n v="94.2"/>
    <n v="0.05"/>
    <n v="178.98"/>
    <n v="127.42"/>
    <n v="51.56"/>
    <s v="Cancelled"/>
    <s v="OK"/>
    <s v="OK"/>
  </r>
  <r>
    <s v="ORD0469"/>
    <d v="2025-09-28T00:00:00"/>
    <s v="CUST0084"/>
    <s v="Pen Set"/>
    <s v="Stationery"/>
    <x v="1"/>
    <n v="2"/>
    <n v="89.69"/>
    <n v="0"/>
    <n v="179.38"/>
    <n v="149.37"/>
    <n v="30.01"/>
    <s v="Returned"/>
    <s v="OK"/>
    <s v="OK"/>
  </r>
  <r>
    <s v="ORD0138"/>
    <d v="2025-01-04T00:00:00"/>
    <s v="CUST0093"/>
    <s v="Backpack"/>
    <s v="Accessories"/>
    <x v="0"/>
    <n v="3"/>
    <n v="66.459999999999994"/>
    <n v="0.1"/>
    <n v="179.44"/>
    <n v="102.21"/>
    <n v="77.23"/>
    <s v="Completed"/>
    <s v="OK"/>
    <s v="OK"/>
  </r>
  <r>
    <s v="ORD0325"/>
    <d v="2025-12-07T00:00:00"/>
    <s v="CUST0174"/>
    <s v="Laptop Sleeve"/>
    <s v="Accessories"/>
    <x v="1"/>
    <n v="3"/>
    <n v="60"/>
    <n v="0"/>
    <n v="180"/>
    <n v="109.51"/>
    <n v="70.489999999999995"/>
    <s v="Completed"/>
    <s v="OK"/>
    <s v="OK"/>
  </r>
  <r>
    <s v="ORD0164"/>
    <d v="2025-09-28T00:00:00"/>
    <s v="CUST0027"/>
    <s v="Phone Stand"/>
    <s v="Accessories"/>
    <x v="2"/>
    <n v="5"/>
    <n v="42.46"/>
    <n v="0.15"/>
    <n v="180.46"/>
    <n v="137.96"/>
    <n v="42.5"/>
    <s v="Completed"/>
    <s v="OK"/>
    <s v="OK"/>
  </r>
  <r>
    <s v="ORD0200"/>
    <d v="2025-05-13T00:00:00"/>
    <s v="CUST0048"/>
    <s v="Water Bottle"/>
    <s v="Home"/>
    <x v="3"/>
    <n v="2"/>
    <n v="90.42"/>
    <n v="0"/>
    <n v="180.84"/>
    <n v="117.98"/>
    <n v="62.86"/>
    <s v="Returned"/>
    <s v="OK"/>
    <s v="OK"/>
  </r>
  <r>
    <s v="ORD0019"/>
    <d v="2025-11-14T00:00:00"/>
    <s v="CUST0052"/>
    <s v="Sticky Notes"/>
    <s v="Stationery"/>
    <x v="2"/>
    <n v="3"/>
    <n v="63.59"/>
    <n v="0.05"/>
    <n v="181.23"/>
    <n v="137.9"/>
    <n v="43.33"/>
    <s v="Completed"/>
    <s v="OK"/>
    <s v="OK"/>
  </r>
  <r>
    <s v="ORD0014"/>
    <d v="2025-04-06T00:00:00"/>
    <s v="CUST0132"/>
    <s v="Water Bottle"/>
    <s v="Home"/>
    <x v="0"/>
    <n v="5"/>
    <n v="42.7"/>
    <n v="0.15"/>
    <n v="181.48"/>
    <n v="125.7"/>
    <n v="55.78"/>
    <s v="Cancelled"/>
    <s v="OK"/>
    <s v="OK"/>
  </r>
  <r>
    <s v="ORD0374"/>
    <d v="2025-03-25T00:00:00"/>
    <s v="CUST0088"/>
    <s v="Water Bottle"/>
    <s v="Home"/>
    <x v="0"/>
    <n v="4"/>
    <n v="50.54"/>
    <n v="0.1"/>
    <n v="181.94"/>
    <n v="136.44999999999999"/>
    <n v="45.49"/>
    <s v="Completed"/>
    <s v="OK"/>
    <s v="OK"/>
  </r>
  <r>
    <s v="ORD0273"/>
    <d v="2025-03-07T00:00:00"/>
    <s v="CUST0074"/>
    <s v="Storage Box"/>
    <s v="Home"/>
    <x v="0"/>
    <n v="2"/>
    <n v="91.37"/>
    <n v="0"/>
    <n v="182.74"/>
    <n v="152.35"/>
    <n v="30.39"/>
    <s v="Completed"/>
    <s v="OK"/>
    <s v="OK"/>
  </r>
  <r>
    <s v="ORD0147"/>
    <d v="2025-06-09T00:00:00"/>
    <s v="CUST0013"/>
    <s v="Headphones"/>
    <s v="Electronics"/>
    <x v="2"/>
    <n v="2"/>
    <n v="96.62"/>
    <n v="0.05"/>
    <n v="183.58"/>
    <n v="155.84"/>
    <n v="27.74"/>
    <s v="Completed"/>
    <s v="OK"/>
    <s v="OK"/>
  </r>
  <r>
    <s v="ORD0139"/>
    <d v="2025-11-07T00:00:00"/>
    <s v="CUST0170"/>
    <s v="Wireless Mouse"/>
    <s v="Electronics"/>
    <x v="0"/>
    <n v="2"/>
    <n v="97.47"/>
    <n v="0.05"/>
    <n v="185.19"/>
    <n v="150.56"/>
    <n v="34.630000000000003"/>
    <s v="Completed"/>
    <s v="OK"/>
    <s v="OK"/>
  </r>
  <r>
    <s v="ORD0262"/>
    <d v="2025-04-17T00:00:00"/>
    <s v="CUST0113"/>
    <s v="Water Bottle"/>
    <s v="Home"/>
    <x v="0"/>
    <n v="5"/>
    <n v="39.729999999999997"/>
    <n v="0.05"/>
    <n v="188.72"/>
    <n v="122.73"/>
    <n v="65.989999999999995"/>
    <s v="Cancelled"/>
    <s v="OK"/>
    <s v="OK"/>
  </r>
  <r>
    <s v="ORD0500"/>
    <d v="2025-10-21T00:00:00"/>
    <s v="CUST0143"/>
    <s v="Office Chair"/>
    <s v="Home"/>
    <x v="0"/>
    <n v="2"/>
    <n v="111.85"/>
    <n v="0.15"/>
    <n v="190.14"/>
    <n v="151.49"/>
    <n v="38.65"/>
    <s v="Cancelled"/>
    <s v="Mismatch"/>
    <s v="OK"/>
  </r>
  <r>
    <s v="ORD0343"/>
    <d v="2025-01-14T00:00:00"/>
    <s v="CUST0178"/>
    <s v="Backpack"/>
    <s v="Accessories"/>
    <x v="2"/>
    <n v="2"/>
    <n v="108.77"/>
    <n v="0.1"/>
    <n v="195.79"/>
    <n v="111.9"/>
    <n v="83.89"/>
    <s v="Completed"/>
    <s v="OK"/>
    <s v="OK"/>
  </r>
  <r>
    <s v="ORD0252"/>
    <d v="2025-10-29T00:00:00"/>
    <s v="CUST0155"/>
    <s v="USB Hub"/>
    <s v="Electronics"/>
    <x v="0"/>
    <n v="3"/>
    <n v="77.06"/>
    <n v="0.15"/>
    <n v="196.5"/>
    <n v="120.1"/>
    <n v="76.400000000000006"/>
    <s v="Completed"/>
    <s v="OK"/>
    <s v="OK"/>
  </r>
  <r>
    <s v="ORD0124"/>
    <d v="2025-11-22T00:00:00"/>
    <s v="CUST0146"/>
    <s v="Water Bottle"/>
    <s v="Home"/>
    <x v="2"/>
    <n v="2"/>
    <n v="98.42"/>
    <n v="0"/>
    <n v="196.84"/>
    <n v="124.34"/>
    <n v="72.5"/>
    <s v="Completed"/>
    <s v="OK"/>
    <s v="OK"/>
  </r>
  <r>
    <s v="ORD0244"/>
    <d v="2025-08-14T00:00:00"/>
    <s v="CUST0011"/>
    <s v="Planner"/>
    <s v="Stationery"/>
    <x v="0"/>
    <n v="2"/>
    <n v="111.52"/>
    <n v="0.1"/>
    <n v="200.74"/>
    <n v="155.46"/>
    <n v="45.28"/>
    <s v="Returned"/>
    <s v="OK"/>
    <s v="OK"/>
  </r>
  <r>
    <s v="ORD0291"/>
    <d v="2025-04-01T00:00:00"/>
    <s v="CUST0098"/>
    <s v="Notebook"/>
    <s v="Stationery"/>
    <x v="2"/>
    <n v="2"/>
    <n v="119.93"/>
    <n v="0.15"/>
    <n v="203.88"/>
    <n v="112.15"/>
    <n v="91.73"/>
    <s v="Completed"/>
    <s v="OK"/>
    <s v="OK"/>
  </r>
  <r>
    <s v="ORD0024"/>
    <d v="2025-12-26T00:00:00"/>
    <s v="CUST0129"/>
    <s v="Office Chair"/>
    <s v="Home"/>
    <x v="1"/>
    <n v="3"/>
    <n v="67.97"/>
    <n v="0"/>
    <n v="203.91"/>
    <n v="169.69"/>
    <n v="34.22"/>
    <s v="Completed"/>
    <s v="OK"/>
    <s v="OK"/>
  </r>
  <r>
    <s v="ORD0339"/>
    <d v="2025-10-17T00:00:00"/>
    <s v="CUST0045"/>
    <s v="Sticky Notes"/>
    <s v="Stationery"/>
    <x v="3"/>
    <n v="3"/>
    <n v="68"/>
    <n v="0"/>
    <n v="204"/>
    <n v="161.66"/>
    <n v="42.34"/>
    <s v="Cancelled"/>
    <s v="OK"/>
    <s v="OK"/>
  </r>
  <r>
    <s v="ORD0402"/>
    <d v="2025-02-16T00:00:00"/>
    <s v="CUST0167"/>
    <s v="Desk Lamp"/>
    <s v="Home"/>
    <x v="2"/>
    <n v="3"/>
    <n v="69.209999999999994"/>
    <n v="0"/>
    <n v="207.63"/>
    <n v="134.97"/>
    <n v="72.66"/>
    <s v="Cancelled"/>
    <s v="OK"/>
    <s v="OK"/>
  </r>
  <r>
    <s v="ORD0360"/>
    <d v="2025-06-02T00:00:00"/>
    <s v="CUST0033"/>
    <s v="Keyboard"/>
    <s v="Electronics"/>
    <x v="1"/>
    <n v="3"/>
    <n v="73.8"/>
    <n v="0.05"/>
    <n v="210.33"/>
    <n v="127.15"/>
    <n v="83.18"/>
    <s v="Cancelled"/>
    <s v="OK"/>
    <s v="OK"/>
  </r>
  <r>
    <s v="ORD0007"/>
    <d v="2025-06-11T00:00:00"/>
    <s v="CUST0014"/>
    <s v="Storage Box"/>
    <s v="Home"/>
    <x v="1"/>
    <n v="2"/>
    <n v="105.64"/>
    <n v="0"/>
    <n v="211.28"/>
    <n v="169.59"/>
    <n v="41.69"/>
    <s v="Returned"/>
    <s v="OK"/>
    <s v="OK"/>
  </r>
  <r>
    <s v="ORD0221"/>
    <d v="2025-05-23T00:00:00"/>
    <s v="CUST0086"/>
    <s v="Pen Set"/>
    <s v="Stationery"/>
    <x v="2"/>
    <n v="2"/>
    <n v="111.3"/>
    <n v="0.05"/>
    <n v="211.47"/>
    <n v="174.64"/>
    <n v="36.83"/>
    <s v="Completed"/>
    <s v="OK"/>
    <s v="OK"/>
  </r>
  <r>
    <s v="ORD0367"/>
    <d v="2025-09-05T00:00:00"/>
    <s v="CUST0054"/>
    <s v="Keyboard"/>
    <s v="Electronics"/>
    <x v="3"/>
    <n v="2"/>
    <n v="126.7"/>
    <n v="0.15"/>
    <n v="215.39"/>
    <n v="150.6"/>
    <n v="64.790000000000006"/>
    <s v="Completed"/>
    <s v="OK"/>
    <s v="OK"/>
  </r>
  <r>
    <s v="ORD0316"/>
    <d v="2025-06-05T00:00:00"/>
    <s v="CUST0172"/>
    <s v="Wireless Mouse"/>
    <s v="Electronics"/>
    <x v="1"/>
    <n v="2"/>
    <n v="109.53"/>
    <n v="0"/>
    <n v="219.06"/>
    <n v="145.72999999999999"/>
    <n v="73.33"/>
    <s v="Completed"/>
    <s v="OK"/>
    <s v="OK"/>
  </r>
  <r>
    <s v="ORD0087"/>
    <d v="2025-11-11T00:00:00"/>
    <s v="CUST0109"/>
    <s v="USB Hub"/>
    <s v="Electronics"/>
    <x v="0"/>
    <n v="3"/>
    <n v="73.150000000000006"/>
    <n v="0"/>
    <n v="219.45"/>
    <n v="179.93"/>
    <n v="39.520000000000003"/>
    <s v="Completed"/>
    <s v="OK"/>
    <s v="OK"/>
  </r>
  <r>
    <s v="ORD0475"/>
    <d v="2025-12-03T00:00:00"/>
    <s v="CUST0032"/>
    <s v="Wireless Mouse"/>
    <s v="Electronics"/>
    <x v="3"/>
    <n v="2"/>
    <n v="122.76"/>
    <n v="0.1"/>
    <n v="220.97"/>
    <n v="178.69"/>
    <n v="42.28"/>
    <s v="Cancelled"/>
    <s v="OK"/>
    <s v="OK"/>
  </r>
  <r>
    <s v="ORD0156"/>
    <d v="2025-03-15T00:00:00"/>
    <s v="CUST0063"/>
    <s v="Wireless Mouse"/>
    <s v="Electronics"/>
    <x v="2"/>
    <n v="2"/>
    <n v="117.05"/>
    <n v="0.05"/>
    <n v="222.4"/>
    <n v="174.35"/>
    <n v="48.05"/>
    <s v="Completed"/>
    <s v="OK"/>
    <s v="OK"/>
  </r>
  <r>
    <s v="ORD0272"/>
    <d v="2025-01-17T00:00:00"/>
    <s v="CUST0098"/>
    <s v="Wireless Mouse"/>
    <s v="Electronics"/>
    <x v="0"/>
    <n v="5"/>
    <n v="47.11"/>
    <n v="0.05"/>
    <n v="223.77"/>
    <n v="159.5"/>
    <n v="64.27"/>
    <s v="Completed"/>
    <s v="OK"/>
    <s v="OK"/>
  </r>
  <r>
    <s v="ORD0490"/>
    <d v="2025-04-12T00:00:00"/>
    <s v="CUST0165"/>
    <s v="Wireless Mouse"/>
    <s v="Electronics"/>
    <x v="3"/>
    <n v="2"/>
    <n v="124.51"/>
    <n v="0.1"/>
    <n v="224.12"/>
    <n v="185.74"/>
    <n v="38.380000000000003"/>
    <s v="Completed"/>
    <s v="OK"/>
    <s v="OK"/>
  </r>
  <r>
    <s v="ORD0076"/>
    <d v="2025-05-18T00:00:00"/>
    <s v="CUST0145"/>
    <s v="Planner"/>
    <s v="Stationery"/>
    <x v="0"/>
    <n v="4"/>
    <n v="59.25"/>
    <n v="0.05"/>
    <n v="225.15"/>
    <n v="170.95"/>
    <n v="54.2"/>
    <s v="Cancelled"/>
    <s v="OK"/>
    <s v="OK"/>
  </r>
  <r>
    <s v="ORD0029"/>
    <d v="2025-03-09T00:00:00"/>
    <s v="CUST0033"/>
    <s v="Storage Box"/>
    <s v="Home"/>
    <x v="0"/>
    <n v="2"/>
    <n v="127.01"/>
    <n v="0.1"/>
    <n v="228.62"/>
    <n v="141.12"/>
    <n v="87.5"/>
    <s v="Completed"/>
    <s v="OK"/>
    <s v="OK"/>
  </r>
  <r>
    <s v="ORD0393"/>
    <d v="2025-06-16T00:00:00"/>
    <s v="CUST0126"/>
    <s v="Headphones"/>
    <s v="Electronics"/>
    <x v="3"/>
    <n v="2"/>
    <n v="127.92"/>
    <n v="0.1"/>
    <n v="230.26"/>
    <n v="158.54"/>
    <n v="71.72"/>
    <s v="Completed"/>
    <s v="OK"/>
    <s v="OK"/>
  </r>
  <r>
    <s v="ORD0424"/>
    <d v="2025-01-23T00:00:00"/>
    <s v="CUST0153"/>
    <s v="Laptop Sleeve"/>
    <s v="Accessories"/>
    <x v="3"/>
    <n v="4"/>
    <n v="57.74"/>
    <n v="0"/>
    <n v="230.96"/>
    <n v="144.35"/>
    <n v="86.61"/>
    <s v="Completed"/>
    <s v="OK"/>
    <s v="OK"/>
  </r>
  <r>
    <s v="ORD0079"/>
    <d v="2025-10-04T00:00:00"/>
    <s v="CUST0005"/>
    <s v="Headphones"/>
    <s v="Electronics"/>
    <x v="0"/>
    <n v="3"/>
    <n v="96.62"/>
    <n v="0.2"/>
    <n v="231.89"/>
    <n v="169.41"/>
    <n v="62.48"/>
    <s v="Completed"/>
    <s v="OK"/>
    <s v="OK"/>
  </r>
  <r>
    <s v="ORD0493"/>
    <d v="2025-11-04T00:00:00"/>
    <s v="CUST0058"/>
    <s v="Cable Organizer"/>
    <s v="Accessories"/>
    <x v="2"/>
    <n v="4"/>
    <n v="68.27"/>
    <n v="0.15"/>
    <n v="232.12"/>
    <n v="151.33000000000001"/>
    <n v="80.790000000000006"/>
    <s v="Cancelled"/>
    <s v="OK"/>
    <s v="OK"/>
  </r>
  <r>
    <s v="ORD0074"/>
    <d v="2025-12-07T00:00:00"/>
    <s v="CUST0142"/>
    <s v="Keyboard"/>
    <s v="Electronics"/>
    <x v="0"/>
    <n v="3"/>
    <n v="77.400000000000006"/>
    <n v="0"/>
    <n v="232.2"/>
    <n v="129.72"/>
    <n v="102.48"/>
    <s v="Cancelled"/>
    <s v="OK"/>
    <s v="OK"/>
  </r>
  <r>
    <s v="ORD0010"/>
    <d v="2025-10-16T00:00:00"/>
    <s v="CUST0123"/>
    <s v="Notebook"/>
    <s v="Stationery"/>
    <x v="3"/>
    <n v="4"/>
    <n v="58.48"/>
    <n v="0"/>
    <n v="233.92"/>
    <n v="142.61000000000001"/>
    <n v="91.31"/>
    <s v="Completed"/>
    <s v="OK"/>
    <s v="OK"/>
  </r>
  <r>
    <s v="ORD0319"/>
    <d v="2025-06-25T00:00:00"/>
    <s v="CUST0116"/>
    <s v="Laptop Sleeve"/>
    <s v="Accessories"/>
    <x v="2"/>
    <n v="3"/>
    <n v="78.459999999999994"/>
    <n v="0"/>
    <n v="235.38"/>
    <n v="177.27"/>
    <n v="58.11"/>
    <s v="Cancelled"/>
    <s v="OK"/>
    <s v="OK"/>
  </r>
  <r>
    <s v="ORD0363"/>
    <d v="2025-08-06T00:00:00"/>
    <s v="CUST0004"/>
    <s v="Planner"/>
    <s v="Stationery"/>
    <x v="0"/>
    <n v="5"/>
    <n v="47.26"/>
    <n v="0"/>
    <n v="236.3"/>
    <n v="164.28"/>
    <n v="72.02"/>
    <s v="Returned"/>
    <s v="OK"/>
    <s v="OK"/>
  </r>
  <r>
    <s v="ORD0220"/>
    <d v="2025-09-15T00:00:00"/>
    <s v="CUST0075"/>
    <s v="Desk Lamp"/>
    <s v="Home"/>
    <x v="1"/>
    <n v="4"/>
    <n v="60.14"/>
    <n v="0"/>
    <n v="240.56"/>
    <n v="158.30000000000001"/>
    <n v="82.26"/>
    <s v="Cancelled"/>
    <s v="OK"/>
    <s v="OK"/>
  </r>
  <r>
    <s v="ORD0304"/>
    <d v="2025-02-18T00:00:00"/>
    <s v="CUST0046"/>
    <s v="Cable Organizer"/>
    <s v="Accessories"/>
    <x v="3"/>
    <n v="3"/>
    <n v="84.96"/>
    <n v="0.05"/>
    <n v="242.14"/>
    <n v="176.1"/>
    <n v="66.040000000000006"/>
    <s v="Cancelled"/>
    <s v="OK"/>
    <s v="OK"/>
  </r>
  <r>
    <s v="ORD0373"/>
    <d v="2025-09-04T00:00:00"/>
    <s v="CUST0008"/>
    <s v="Backpack"/>
    <s v="Accessories"/>
    <x v="3"/>
    <n v="2"/>
    <n v="128.11000000000001"/>
    <n v="0.05"/>
    <n v="243.41"/>
    <n v="203.46"/>
    <n v="39.950000000000003"/>
    <s v="Completed"/>
    <s v="OK"/>
    <s v="OK"/>
  </r>
  <r>
    <s v="ORD0322"/>
    <d v="2025-05-04T00:00:00"/>
    <s v="CUST0101"/>
    <s v="Headphones"/>
    <s v="Electronics"/>
    <x v="1"/>
    <n v="5"/>
    <n v="57.75"/>
    <n v="0.15"/>
    <n v="245.44"/>
    <n v="143.54"/>
    <n v="101.9"/>
    <s v="Completed"/>
    <s v="OK"/>
    <s v="OK"/>
  </r>
  <r>
    <s v="ORD0287"/>
    <d v="2025-11-21T00:00:00"/>
    <s v="CUST0108"/>
    <s v="Headphones"/>
    <s v="Electronics"/>
    <x v="1"/>
    <n v="2"/>
    <n v="136.80000000000001"/>
    <n v="0.1"/>
    <n v="246.24"/>
    <n v="181.3"/>
    <n v="64.94"/>
    <s v="Completed"/>
    <s v="OK"/>
    <s v="OK"/>
  </r>
  <r>
    <s v="ORD0174"/>
    <d v="2025-01-22T00:00:00"/>
    <s v="CUST0154"/>
    <s v="Office Chair"/>
    <s v="Home"/>
    <x v="1"/>
    <n v="3"/>
    <n v="91.32"/>
    <n v="0.1"/>
    <n v="246.56"/>
    <n v="176.51"/>
    <n v="70.05"/>
    <s v="Completed"/>
    <s v="OK"/>
    <s v="OK"/>
  </r>
  <r>
    <s v="ORD0314"/>
    <d v="2025-03-03T00:00:00"/>
    <s v="CUST0049"/>
    <s v="Planner"/>
    <s v="Stationery"/>
    <x v="1"/>
    <n v="3"/>
    <n v="91.59"/>
    <n v="0.1"/>
    <n v="247.29"/>
    <n v="139.25"/>
    <n v="108.04"/>
    <s v="Cancelled"/>
    <s v="OK"/>
    <s v="OK"/>
  </r>
  <r>
    <s v="ORD0489"/>
    <d v="2025-04-13T00:00:00"/>
    <s v="CUST0171"/>
    <s v="Phone Stand"/>
    <s v="Accessories"/>
    <x v="1"/>
    <n v="4"/>
    <n v="73.319999999999993"/>
    <n v="0.15"/>
    <n v="249.29"/>
    <n v="166.43"/>
    <n v="82.86"/>
    <s v="Completed"/>
    <s v="OK"/>
    <s v="OK"/>
  </r>
  <r>
    <s v="ORD0215"/>
    <d v="2025-08-03T00:00:00"/>
    <s v="CUST0172"/>
    <s v="Notebook"/>
    <s v="Stationery"/>
    <x v="0"/>
    <n v="2"/>
    <n v="124.98"/>
    <n v="0"/>
    <n v="249.96"/>
    <n v="171.74"/>
    <n v="78.22"/>
    <s v="Completed"/>
    <s v="OK"/>
    <s v="OK"/>
  </r>
  <r>
    <s v="ORD0037"/>
    <d v="2025-11-09T00:00:00"/>
    <s v="CUST0036"/>
    <s v="Keyboard"/>
    <s v="Electronics"/>
    <x v="3"/>
    <n v="2"/>
    <n v="147.34"/>
    <n v="0.15"/>
    <n v="250.48"/>
    <n v="206.39"/>
    <n v="44.09"/>
    <s v="Completed"/>
    <s v="OK"/>
    <s v="OK"/>
  </r>
  <r>
    <s v="ORD0081"/>
    <d v="2025-08-02T00:00:00"/>
    <s v="CUST0056"/>
    <s v="Keyboard"/>
    <s v="Electronics"/>
    <x v="0"/>
    <n v="2"/>
    <n v="126.75"/>
    <n v="0"/>
    <n v="253.5"/>
    <n v="200.22"/>
    <n v="53.28"/>
    <s v="Completed"/>
    <s v="OK"/>
    <s v="OK"/>
  </r>
  <r>
    <s v="ORD0283"/>
    <d v="2025-09-04T00:00:00"/>
    <s v="CUST0128"/>
    <s v="Wireless Mouse"/>
    <s v="Electronics"/>
    <x v="1"/>
    <n v="5"/>
    <n v="63.56"/>
    <n v="0.2"/>
    <n v="254.24"/>
    <n v="214.56"/>
    <n v="39.68"/>
    <s v="Completed"/>
    <s v="OK"/>
    <s v="OK"/>
  </r>
  <r>
    <s v="ORD0380"/>
    <d v="2025-07-22T00:00:00"/>
    <s v="CUST0041"/>
    <s v="Desk Lamp"/>
    <s v="Home"/>
    <x v="3"/>
    <n v="2"/>
    <n v="158.91"/>
    <n v="0.2"/>
    <n v="254.26"/>
    <n v="141.94"/>
    <n v="112.32"/>
    <s v="Completed"/>
    <s v="OK"/>
    <s v="OK"/>
  </r>
  <r>
    <s v="ORD0269"/>
    <d v="2025-06-03T00:00:00"/>
    <s v="CUST0120"/>
    <s v="Laptop Sleeve"/>
    <s v="Accessories"/>
    <x v="2"/>
    <n v="2"/>
    <n v="133.97999999999999"/>
    <n v="0.05"/>
    <n v="254.56"/>
    <n v="149.78"/>
    <n v="104.78"/>
    <s v="Cancelled"/>
    <s v="OK"/>
    <s v="OK"/>
  </r>
  <r>
    <s v="ORD0030"/>
    <d v="2025-06-25T00:00:00"/>
    <s v="CUST0115"/>
    <s v="USB Hub"/>
    <s v="Electronics"/>
    <x v="0"/>
    <n v="4"/>
    <n v="71.03"/>
    <n v="0.1"/>
    <n v="255.71"/>
    <n v="195.95"/>
    <n v="59.76"/>
    <s v="Completed"/>
    <s v="OK"/>
    <s v="OK"/>
  </r>
  <r>
    <s v="ORD0346"/>
    <d v="2025-12-09T00:00:00"/>
    <s v="CUST0088"/>
    <s v="Backpack"/>
    <s v="Accessories"/>
    <x v="0"/>
    <n v="2"/>
    <n v="142.68"/>
    <n v="0.1"/>
    <n v="256.82"/>
    <n v="186.98"/>
    <n v="69.84"/>
    <s v="Completed"/>
    <s v="OK"/>
    <s v="OK"/>
  </r>
  <r>
    <s v="ORD0298"/>
    <d v="2025-07-20T00:00:00"/>
    <s v="CUST0137"/>
    <s v="Backpack"/>
    <s v="Accessories"/>
    <x v="2"/>
    <n v="5"/>
    <n v="51.4"/>
    <n v="0"/>
    <n v="257"/>
    <n v="179"/>
    <n v="78"/>
    <s v="Cancelled"/>
    <s v="OK"/>
    <s v="OK"/>
  </r>
  <r>
    <s v="ORD0456"/>
    <d v="2025-12-21T00:00:00"/>
    <s v="CUST0003"/>
    <s v="Office Chair"/>
    <s v="Home"/>
    <x v="2"/>
    <n v="2"/>
    <n v="129.46"/>
    <n v="0"/>
    <n v="258.92"/>
    <n v="152.71"/>
    <n v="106.21"/>
    <s v="Completed"/>
    <s v="OK"/>
    <s v="OK"/>
  </r>
  <r>
    <s v="ORD0123"/>
    <d v="2025-12-25T00:00:00"/>
    <s v="CUST0022"/>
    <s v="Keyboard"/>
    <s v="Electronics"/>
    <x v="1"/>
    <n v="3"/>
    <n v="96.14"/>
    <n v="0.1"/>
    <n v="259.58"/>
    <n v="197.19"/>
    <n v="62.39"/>
    <s v="Completed"/>
    <s v="OK"/>
    <s v="OK"/>
  </r>
  <r>
    <s v="ORD0452"/>
    <d v="2025-08-18T00:00:00"/>
    <s v="CUST0146"/>
    <s v="Pen Set"/>
    <s v="Stationery"/>
    <x v="0"/>
    <n v="3"/>
    <n v="96.44"/>
    <n v="0.1"/>
    <n v="260.39"/>
    <n v="177.31"/>
    <n v="83.08"/>
    <s v="Cancelled"/>
    <s v="OK"/>
    <s v="OK"/>
  </r>
  <r>
    <s v="ORD0020"/>
    <d v="2025-04-23T00:00:00"/>
    <s v="CUST0002"/>
    <s v="Office Chair"/>
    <s v="Home"/>
    <x v="0"/>
    <n v="2"/>
    <n v="130.51"/>
    <n v="0"/>
    <n v="261.02"/>
    <n v="221.69"/>
    <n v="39.33"/>
    <s v="Completed"/>
    <s v="OK"/>
    <s v="OK"/>
  </r>
  <r>
    <s v="ORD0083"/>
    <d v="2025-01-14T00:00:00"/>
    <s v="CUST0056"/>
    <s v="Laptop Sleeve"/>
    <s v="Accessories"/>
    <x v="1"/>
    <n v="2"/>
    <n v="138.71"/>
    <n v="0.05"/>
    <n v="263.55"/>
    <n v="201.92"/>
    <n v="61.63"/>
    <s v="Completed"/>
    <s v="OK"/>
    <s v="OK"/>
  </r>
  <r>
    <s v="ORD0187"/>
    <d v="2025-06-14T00:00:00"/>
    <s v="CUST0049"/>
    <s v="Wireless Mouse"/>
    <s v="Electronics"/>
    <x v="3"/>
    <n v="4"/>
    <n v="73.25"/>
    <n v="0.1"/>
    <n v="263.7"/>
    <n v="173.26"/>
    <n v="90.44"/>
    <s v="Returned"/>
    <s v="OK"/>
    <s v="OK"/>
  </r>
  <r>
    <s v="ORD0284"/>
    <d v="2025-08-15T00:00:00"/>
    <s v="CUST0009"/>
    <s v="Wireless Mouse"/>
    <s v="Electronics"/>
    <x v="2"/>
    <n v="3"/>
    <n v="98.71"/>
    <n v="0.1"/>
    <n v="266.52"/>
    <n v="217.77"/>
    <n v="48.75"/>
    <s v="Cancelled"/>
    <s v="OK"/>
    <s v="OK"/>
  </r>
  <r>
    <s v="ORD0126"/>
    <d v="2025-09-25T00:00:00"/>
    <s v="CUST0053"/>
    <s v="Storage Box"/>
    <s v="Home"/>
    <x v="1"/>
    <n v="5"/>
    <n v="53.35"/>
    <n v="0"/>
    <n v="266.75"/>
    <n v="205.31"/>
    <n v="61.44"/>
    <s v="Completed"/>
    <s v="OK"/>
    <s v="OK"/>
  </r>
  <r>
    <s v="ORD0386"/>
    <d v="2025-11-14T00:00:00"/>
    <s v="CUST0169"/>
    <s v="Headphones"/>
    <s v="Electronics"/>
    <x v="3"/>
    <n v="5"/>
    <n v="56.59"/>
    <n v="0.05"/>
    <n v="268.8"/>
    <n v="150.87"/>
    <n v="117.93"/>
    <s v="Cancelled"/>
    <s v="OK"/>
    <s v="OK"/>
  </r>
  <r>
    <s v="ORD0425"/>
    <d v="2025-02-05T00:00:00"/>
    <s v="CUST0110"/>
    <s v="Headphones"/>
    <s v="Electronics"/>
    <x v="0"/>
    <n v="2"/>
    <n v="150.51"/>
    <n v="0.1"/>
    <n v="270.92"/>
    <n v="174.02"/>
    <n v="96.9"/>
    <s v="Cancelled"/>
    <s v="OK"/>
    <s v="OK"/>
  </r>
  <r>
    <s v="ORD0404"/>
    <d v="2025-03-03T00:00:00"/>
    <s v="CUST0157"/>
    <s v="Sticky Notes"/>
    <s v="Stationery"/>
    <x v="0"/>
    <n v="5"/>
    <n v="63.94"/>
    <n v="0.15"/>
    <n v="271.74"/>
    <n v="224.03"/>
    <n v="47.71"/>
    <s v="Completed"/>
    <s v="OK"/>
    <s v="OK"/>
  </r>
  <r>
    <s v="ORD0111"/>
    <d v="2025-05-30T00:00:00"/>
    <s v="CUST0154"/>
    <s v="Notebook"/>
    <s v="Stationery"/>
    <x v="2"/>
    <n v="4"/>
    <n v="80.06"/>
    <n v="0.15"/>
    <n v="272.2"/>
    <n v="179.3"/>
    <n v="92.9"/>
    <s v="Completed"/>
    <s v="OK"/>
    <s v="OK"/>
  </r>
  <r>
    <s v="ORD0271"/>
    <d v="2025-11-23T00:00:00"/>
    <s v="CUST0086"/>
    <s v="Wireless Mouse"/>
    <s v="Electronics"/>
    <x v="1"/>
    <n v="4"/>
    <n v="68.12"/>
    <n v="0"/>
    <n v="272.48"/>
    <n v="162.22999999999999"/>
    <n v="110.25"/>
    <s v="Returned"/>
    <s v="OK"/>
    <s v="OK"/>
  </r>
  <r>
    <s v="ORD0398"/>
    <d v="2025-05-27T00:00:00"/>
    <s v="CUST0080"/>
    <s v="Wireless Mouse"/>
    <s v="Electronics"/>
    <x v="1"/>
    <n v="3"/>
    <n v="90.95"/>
    <n v="0"/>
    <n v="272.85000000000002"/>
    <n v="228.77"/>
    <n v="44.08"/>
    <s v="Completed"/>
    <s v="OK"/>
    <s v="OK"/>
  </r>
  <r>
    <s v="ORD0086"/>
    <d v="2025-04-21T00:00:00"/>
    <s v="CUST0008"/>
    <s v="USB Hub"/>
    <s v="Electronics"/>
    <x v="2"/>
    <n v="2"/>
    <n v="143.74"/>
    <n v="0.05"/>
    <n v="273.11"/>
    <n v="157.33000000000001"/>
    <n v="115.78"/>
    <s v="Completed"/>
    <s v="OK"/>
    <s v="OK"/>
  </r>
  <r>
    <s v="ORD0005"/>
    <d v="2025-12-12T00:00:00"/>
    <s v="CUST0053"/>
    <s v="Headphones"/>
    <s v="Electronics"/>
    <x v="0"/>
    <n v="2"/>
    <n v="171.21"/>
    <n v="0.2"/>
    <n v="273.94"/>
    <n v="217.1"/>
    <n v="56.84"/>
    <s v="Completed"/>
    <s v="OK"/>
    <s v="OK"/>
  </r>
  <r>
    <s v="ORD0499"/>
    <d v="2025-09-03T00:00:00"/>
    <s v="CUST0089"/>
    <s v="Office Chair"/>
    <s v="Home"/>
    <x v="0"/>
    <n v="2"/>
    <n v="162.04"/>
    <n v="0.15"/>
    <n v="275.47000000000003"/>
    <n v="177.45"/>
    <n v="98.02"/>
    <s v="Completed"/>
    <s v="OK"/>
    <s v="OK"/>
  </r>
  <r>
    <s v="ORD0365"/>
    <d v="2025-09-24T00:00:00"/>
    <s v="CUST0104"/>
    <s v="Water Bottle"/>
    <s v="Home"/>
    <x v="2"/>
    <n v="2"/>
    <n v="162.12"/>
    <n v="0.15"/>
    <n v="275.60000000000002"/>
    <n v="177.64"/>
    <n v="97.96"/>
    <s v="Completed"/>
    <s v="OK"/>
    <s v="OK"/>
  </r>
  <r>
    <s v="ORD0443"/>
    <d v="2025-01-29T00:00:00"/>
    <s v="CUST0059"/>
    <s v="Notebook"/>
    <s v="Stationery"/>
    <x v="1"/>
    <n v="2"/>
    <n v="138.46"/>
    <n v="0"/>
    <n v="276.92"/>
    <n v="169.52"/>
    <n v="107.4"/>
    <s v="Returned"/>
    <s v="OK"/>
    <s v="OK"/>
  </r>
  <r>
    <s v="ORD0077"/>
    <d v="2025-05-06T00:00:00"/>
    <s v="CUST0043"/>
    <s v="USB Hub"/>
    <s v="Electronics"/>
    <x v="2"/>
    <n v="4"/>
    <n v="86.97"/>
    <n v="0.2"/>
    <n v="278.3"/>
    <n v="194.19"/>
    <n v="84.11"/>
    <s v="Cancelled"/>
    <s v="OK"/>
    <s v="OK"/>
  </r>
  <r>
    <s v="ORD0417"/>
    <d v="2025-12-24T00:00:00"/>
    <s v="CUST0065"/>
    <s v="Storage Box"/>
    <s v="Home"/>
    <x v="1"/>
    <n v="3"/>
    <n v="92.88"/>
    <n v="0"/>
    <n v="278.64"/>
    <n v="219.02"/>
    <n v="59.62"/>
    <s v="Completed"/>
    <s v="OK"/>
    <s v="OK"/>
  </r>
  <r>
    <s v="ORD0122"/>
    <d v="2025-08-03T00:00:00"/>
    <s v="CUST0128"/>
    <s v="Cable Organizer"/>
    <s v="Accessories"/>
    <x v="2"/>
    <n v="2"/>
    <n v="139.34"/>
    <n v="0"/>
    <n v="278.68"/>
    <n v="225.88"/>
    <n v="52.8"/>
    <s v="Completed"/>
    <s v="OK"/>
    <s v="OK"/>
  </r>
  <r>
    <s v="ORD0186"/>
    <d v="2025-09-21T00:00:00"/>
    <s v="CUST0171"/>
    <s v="Pen Set"/>
    <s v="Stationery"/>
    <x v="2"/>
    <n v="5"/>
    <n v="65.959999999999994"/>
    <n v="0.15"/>
    <n v="280.33"/>
    <n v="190.42"/>
    <n v="89.91"/>
    <s v="Returned"/>
    <s v="OK"/>
    <s v="OK"/>
  </r>
  <r>
    <s v="ORD0310"/>
    <d v="2025-08-27T00:00:00"/>
    <s v="CUST0156"/>
    <s v="Storage Box"/>
    <s v="Home"/>
    <x v="2"/>
    <n v="4"/>
    <n v="74.02"/>
    <n v="0.05"/>
    <n v="281.27999999999997"/>
    <n v="185.85"/>
    <n v="95.43"/>
    <s v="Completed"/>
    <s v="OK"/>
    <s v="OK"/>
  </r>
  <r>
    <s v="ORD0299"/>
    <d v="2025-03-17T00:00:00"/>
    <s v="CUST0174"/>
    <s v="Backpack"/>
    <s v="Accessories"/>
    <x v="1"/>
    <n v="2"/>
    <n v="159.18"/>
    <n v="0.1"/>
    <n v="286.52"/>
    <n v="202.06"/>
    <n v="84.46"/>
    <s v="Returned"/>
    <s v="OK"/>
    <s v="OK"/>
  </r>
  <r>
    <s v="ORD0155"/>
    <d v="2025-02-15T00:00:00"/>
    <s v="CUST0155"/>
    <s v="Water Bottle"/>
    <s v="Home"/>
    <x v="3"/>
    <n v="2"/>
    <n v="151.13"/>
    <n v="0.05"/>
    <n v="287.14999999999998"/>
    <n v="158.47999999999999"/>
    <n v="128.66999999999999"/>
    <s v="Cancelled"/>
    <s v="OK"/>
    <s v="OK"/>
  </r>
  <r>
    <s v="ORD0234"/>
    <d v="2025-11-04T00:00:00"/>
    <s v="CUST0117"/>
    <s v="USB Hub"/>
    <s v="Electronics"/>
    <x v="0"/>
    <n v="4"/>
    <n v="71.88"/>
    <n v="0"/>
    <n v="287.52"/>
    <n v="213.87"/>
    <n v="73.650000000000006"/>
    <s v="Cancelled"/>
    <s v="OK"/>
    <s v="OK"/>
  </r>
  <r>
    <s v="ORD0150"/>
    <d v="2025-02-06T00:00:00"/>
    <s v="CUST0060"/>
    <s v="Water Bottle"/>
    <s v="Home"/>
    <x v="2"/>
    <n v="4"/>
    <n v="72.099999999999994"/>
    <n v="0"/>
    <n v="288.39999999999998"/>
    <n v="221.21"/>
    <n v="67.19"/>
    <s v="Completed"/>
    <s v="OK"/>
    <s v="OK"/>
  </r>
  <r>
    <s v="ORD0401"/>
    <d v="2025-01-05T00:00:00"/>
    <s v="CUST0057"/>
    <s v="USB Hub"/>
    <s v="Electronics"/>
    <x v="2"/>
    <n v="5"/>
    <n v="60.77"/>
    <n v="0.05"/>
    <n v="288.66000000000003"/>
    <n v="212.57"/>
    <n v="76.09"/>
    <s v="Completed"/>
    <s v="OK"/>
    <s v="OK"/>
  </r>
  <r>
    <s v="ORD0426"/>
    <d v="2025-01-06T00:00:00"/>
    <s v="CUST0109"/>
    <s v="Keyboard"/>
    <s v="Electronics"/>
    <x v="1"/>
    <n v="2"/>
    <n v="169.87"/>
    <n v="0.15"/>
    <n v="288.77999999999997"/>
    <n v="167.71"/>
    <n v="121.07"/>
    <s v="Completed"/>
    <s v="OK"/>
    <s v="OK"/>
  </r>
  <r>
    <s v="ORD0109"/>
    <d v="2025-01-25T00:00:00"/>
    <s v="CUST0090"/>
    <s v="Wireless Mouse"/>
    <s v="Electronics"/>
    <x v="1"/>
    <n v="2"/>
    <n v="146.09"/>
    <n v="0"/>
    <n v="292.18"/>
    <n v="189.93"/>
    <n v="102.25"/>
    <s v="Returned"/>
    <s v="OK"/>
    <s v="OK"/>
  </r>
  <r>
    <s v="ORD0016"/>
    <d v="2025-02-13T00:00:00"/>
    <s v="CUST0084"/>
    <s v="Storage Box"/>
    <s v="Home"/>
    <x v="0"/>
    <n v="5"/>
    <n v="58.85"/>
    <n v="0"/>
    <n v="294.25"/>
    <n v="202.14"/>
    <n v="92.11"/>
    <s v="Returned"/>
    <s v="OK"/>
    <s v="OK"/>
  </r>
  <r>
    <s v="ORD0497"/>
    <d v="2025-11-19T00:00:00"/>
    <s v="CUST0152"/>
    <s v="Water Bottle"/>
    <s v="Home"/>
    <x v="3"/>
    <n v="2"/>
    <n v="163.62"/>
    <n v="0.1"/>
    <n v="294.52"/>
    <n v="186.11"/>
    <n v="108.41"/>
    <s v="Completed"/>
    <s v="OK"/>
    <s v="OK"/>
  </r>
  <r>
    <s v="ORD0292"/>
    <d v="2025-03-25T00:00:00"/>
    <s v="CUST0113"/>
    <s v="Storage Box"/>
    <s v="Home"/>
    <x v="3"/>
    <n v="4"/>
    <n v="73.64"/>
    <n v="0"/>
    <n v="294.56"/>
    <n v="198.48"/>
    <n v="96.08"/>
    <s v="Completed"/>
    <s v="OK"/>
    <s v="OK"/>
  </r>
  <r>
    <s v="ORD0414"/>
    <d v="2025-07-31T00:00:00"/>
    <s v="CUST0168"/>
    <s v="Phone Stand"/>
    <s v="Accessories"/>
    <x v="1"/>
    <n v="3"/>
    <n v="109.39"/>
    <n v="0.1"/>
    <n v="295.35000000000002"/>
    <n v="218.94"/>
    <n v="76.41"/>
    <s v="Completed"/>
    <s v="OK"/>
    <s v="OK"/>
  </r>
  <r>
    <s v="ORD0265"/>
    <d v="2025-07-01T00:00:00"/>
    <s v="CUST0174"/>
    <s v="Pen Set"/>
    <s v="Stationery"/>
    <x v="2"/>
    <n v="2"/>
    <n v="164.42"/>
    <n v="0.1"/>
    <n v="295.95999999999998"/>
    <n v="163.4"/>
    <n v="132.56"/>
    <s v="Completed"/>
    <s v="OK"/>
    <s v="OK"/>
  </r>
  <r>
    <s v="ORD0396"/>
    <d v="2025-10-16T00:00:00"/>
    <s v="CUST0014"/>
    <s v="Sticky Notes"/>
    <s v="Stationery"/>
    <x v="0"/>
    <n v="4"/>
    <n v="74.11"/>
    <n v="0"/>
    <n v="296.44"/>
    <n v="237.66"/>
    <n v="58.78"/>
    <s v="Completed"/>
    <s v="OK"/>
    <s v="OK"/>
  </r>
  <r>
    <s v="ORD0232"/>
    <d v="2025-09-03T00:00:00"/>
    <s v="CUST0079"/>
    <s v="Storage Box"/>
    <s v="Home"/>
    <x v="3"/>
    <n v="5"/>
    <n v="74.58"/>
    <n v="0.2"/>
    <n v="298.32"/>
    <n v="186.32"/>
    <n v="112"/>
    <s v="Completed"/>
    <s v="OK"/>
    <s v="OK"/>
  </r>
  <r>
    <s v="ORD0084"/>
    <d v="2025-01-15T00:00:00"/>
    <s v="CUST0119"/>
    <s v="Laptop Sleeve"/>
    <s v="Accessories"/>
    <x v="3"/>
    <n v="3"/>
    <n v="99.52"/>
    <n v="0"/>
    <n v="298.56"/>
    <n v="204.28"/>
    <n v="94.28"/>
    <s v="Completed"/>
    <s v="OK"/>
    <s v="OK"/>
  </r>
  <r>
    <s v="ORD0172"/>
    <d v="2025-11-13T00:00:00"/>
    <s v="CUST0123"/>
    <s v="Storage Box"/>
    <s v="Home"/>
    <x v="0"/>
    <n v="2"/>
    <n v="149.29"/>
    <n v="0"/>
    <n v="298.58"/>
    <n v="224.27"/>
    <n v="74.31"/>
    <s v="Completed"/>
    <s v="OK"/>
    <s v="OK"/>
  </r>
  <r>
    <s v="ORD0444"/>
    <d v="2025-10-04T00:00:00"/>
    <s v="CUST0064"/>
    <s v="Notebook"/>
    <s v="Stationery"/>
    <x v="0"/>
    <n v="4"/>
    <n v="75.209999999999994"/>
    <n v="0"/>
    <n v="300.83999999999997"/>
    <n v="188.77"/>
    <n v="112.07"/>
    <s v="Completed"/>
    <s v="OK"/>
    <s v="OK"/>
  </r>
  <r>
    <s v="ORD0021"/>
    <d v="2025-06-21T00:00:00"/>
    <s v="CUST0160"/>
    <s v="Pen Set"/>
    <s v="Stationery"/>
    <x v="0"/>
    <n v="5"/>
    <n v="67.349999999999994"/>
    <n v="0.1"/>
    <n v="303.08"/>
    <n v="228.59"/>
    <n v="74.489999999999995"/>
    <s v="Cancelled"/>
    <s v="OK"/>
    <s v="OK"/>
  </r>
  <r>
    <s v="ORD0035"/>
    <d v="2025-10-15T00:00:00"/>
    <s v="CUST0175"/>
    <s v="Desk Lamp"/>
    <s v="Home"/>
    <x v="4"/>
    <n v="2"/>
    <n v="169.02"/>
    <n v="0.1"/>
    <n v="304.24"/>
    <n v="219.36"/>
    <n v="84.88"/>
    <s v="Completed"/>
    <s v="OK"/>
    <s v="OK"/>
  </r>
  <r>
    <s v="ORD0059"/>
    <d v="2025-10-28T00:00:00"/>
    <s v="CUST0132"/>
    <s v="Sticky Notes"/>
    <s v="Stationery"/>
    <x v="2"/>
    <n v="5"/>
    <n v="71.75"/>
    <n v="0.15"/>
    <n v="304.94"/>
    <n v="254.37"/>
    <n v="50.57"/>
    <s v="Completed"/>
    <s v="OK"/>
    <s v="OK"/>
  </r>
  <r>
    <s v="ORD0163"/>
    <d v="2025-02-27T00:00:00"/>
    <s v="CUST0124"/>
    <s v="Headphones"/>
    <s v="Electronics"/>
    <x v="0"/>
    <n v="4"/>
    <n v="76.39"/>
    <n v="0"/>
    <n v="305.56"/>
    <n v="258.26"/>
    <n v="47.3"/>
    <s v="Completed"/>
    <s v="OK"/>
    <s v="OK"/>
  </r>
  <r>
    <s v="ORD0383"/>
    <d v="2025-05-27T00:00:00"/>
    <s v="CUST0112"/>
    <s v="Water Bottle"/>
    <s v="Home"/>
    <x v="1"/>
    <n v="2"/>
    <n v="160.88999999999999"/>
    <n v="0.05"/>
    <n v="305.69"/>
    <n v="186.88"/>
    <n v="118.81"/>
    <s v="Completed"/>
    <s v="OK"/>
    <s v="OK"/>
  </r>
  <r>
    <s v="ORD0317"/>
    <d v="2025-06-16T00:00:00"/>
    <s v="CUST0034"/>
    <s v="Headphones"/>
    <s v="Electronics"/>
    <x v="2"/>
    <n v="3"/>
    <n v="108.14"/>
    <n v="0.05"/>
    <n v="308.2"/>
    <n v="225.09"/>
    <n v="83.11"/>
    <s v="Returned"/>
    <s v="OK"/>
    <s v="OK"/>
  </r>
  <r>
    <s v="ORD0463"/>
    <d v="2025-07-03T00:00:00"/>
    <s v="CUST0090"/>
    <s v="Laptop Sleeve"/>
    <s v="Accessories"/>
    <x v="0"/>
    <n v="4"/>
    <n v="86.24"/>
    <n v="0.1"/>
    <n v="310.45999999999998"/>
    <n v="255.53"/>
    <n v="54.93"/>
    <s v="Returned"/>
    <s v="OK"/>
    <s v="OK"/>
  </r>
  <r>
    <s v="ORD0224"/>
    <d v="2025-10-08T00:00:00"/>
    <s v="CUST0054"/>
    <s v="Office Chair"/>
    <s v="Home"/>
    <x v="3"/>
    <n v="2"/>
    <n v="172.66"/>
    <n v="0.1"/>
    <n v="310.79000000000002"/>
    <n v="257.89999999999998"/>
    <n v="52.89"/>
    <s v="complete"/>
    <s v="OK"/>
    <s v="OK"/>
  </r>
  <r>
    <s v="ORD0039"/>
    <d v="2025-04-11T00:00:00"/>
    <s v="CUST0008"/>
    <s v="Keyboard"/>
    <s v="Electronics"/>
    <x v="3"/>
    <n v="2"/>
    <n v="155.99"/>
    <n v="0"/>
    <n v="311.98"/>
    <n v="175.22"/>
    <n v="136.76"/>
    <s v="Completed"/>
    <s v="OK"/>
    <s v="OK"/>
  </r>
  <r>
    <s v="ORD0228"/>
    <d v="2025-06-27T00:00:00"/>
    <s v="CUST0159"/>
    <s v="Laptop Sleeve"/>
    <s v="Accessories"/>
    <x v="2"/>
    <n v="3"/>
    <n v="105.08"/>
    <n v="0"/>
    <n v="315.24"/>
    <n v="193.41"/>
    <n v="121.83"/>
    <s v="Completed"/>
    <s v="OK"/>
    <s v="OK"/>
  </r>
  <r>
    <s v="ORD0312"/>
    <d v="2025-02-08T00:00:00"/>
    <s v="CUST0028"/>
    <s v="Office Chair"/>
    <s v="Home"/>
    <x v="1"/>
    <n v="3"/>
    <n v="110.98"/>
    <n v="0.05"/>
    <n v="316.29000000000002"/>
    <n v="187.14"/>
    <n v="129.15"/>
    <s v="Completed"/>
    <s v="OK"/>
    <s v="OK"/>
  </r>
  <r>
    <s v="ORD0434"/>
    <d v="2025-04-13T00:00:00"/>
    <s v="CUST0053"/>
    <s v="Desk Lamp"/>
    <s v="Home"/>
    <x v="3"/>
    <n v="5"/>
    <n v="75.400000000000006"/>
    <n v="0.15"/>
    <n v="320.45"/>
    <n v="195.89"/>
    <n v="124.56"/>
    <s v="Completed"/>
    <s v="OK"/>
    <s v="OK"/>
  </r>
  <r>
    <s v="ORD0204"/>
    <d v="2025-03-18T00:00:00"/>
    <s v="CUST0132"/>
    <s v="Cable Organizer"/>
    <s v="Accessories"/>
    <x v="0"/>
    <n v="3"/>
    <n v="107.92"/>
    <n v="0"/>
    <n v="323.76"/>
    <n v="247.77"/>
    <n v="75.989999999999995"/>
    <s v="Completed"/>
    <s v="OK"/>
    <s v="OK"/>
  </r>
  <r>
    <s v="ORD0441"/>
    <d v="2025-03-03T00:00:00"/>
    <s v="CUST0049"/>
    <s v="Sticky Notes"/>
    <s v="Stationery"/>
    <x v="3"/>
    <n v="3"/>
    <n v="120.96"/>
    <n v="0.1"/>
    <n v="326.58999999999997"/>
    <n v="180.44"/>
    <n v="146.15"/>
    <s v="Completed"/>
    <s v="OK"/>
    <s v="OK"/>
  </r>
  <r>
    <s v="ORD0303"/>
    <d v="2025-04-03T00:00:00"/>
    <s v="CUST0109"/>
    <s v="Pen Set"/>
    <s v="Stationery"/>
    <x v="3"/>
    <n v="2"/>
    <n v="164.07"/>
    <n v="0"/>
    <n v="328.14"/>
    <n v="226.71"/>
    <n v="101.43"/>
    <s v="Completed"/>
    <s v="OK"/>
    <s v="OK"/>
  </r>
  <r>
    <s v="ORD0209"/>
    <d v="2025-04-18T00:00:00"/>
    <s v="CUST0161"/>
    <s v="Keyboard"/>
    <s v="Electronics"/>
    <x v="1"/>
    <n v="3"/>
    <n v="115.3"/>
    <n v="0.05"/>
    <n v="328.6"/>
    <n v="238.56"/>
    <n v="90.04"/>
    <s v="Completed"/>
    <s v="OK"/>
    <s v="OK"/>
  </r>
  <r>
    <s v="ORD0098"/>
    <d v="2025-06-02T00:00:00"/>
    <s v="CUST0145"/>
    <s v="Sticky Notes"/>
    <s v="Stationery"/>
    <x v="3"/>
    <n v="3"/>
    <n v="115.35"/>
    <n v="0.05"/>
    <n v="328.75"/>
    <n v="224.08"/>
    <n v="104.67"/>
    <s v="Completed"/>
    <s v="OK"/>
    <s v="OK"/>
  </r>
  <r>
    <s v="ORD0407"/>
    <d v="2025-02-10T00:00:00"/>
    <s v="CUST0148"/>
    <s v="Storage Box"/>
    <s v="Home"/>
    <x v="2"/>
    <n v="3"/>
    <n v="110.4"/>
    <n v="0"/>
    <n v="331.2"/>
    <n v="274.12"/>
    <n v="57.08"/>
    <s v="Returned"/>
    <s v="OK"/>
    <s v="OK"/>
  </r>
  <r>
    <s v="ORD0285"/>
    <d v="2025-12-30T00:00:00"/>
    <s v="CUST0131"/>
    <s v="Storage Box"/>
    <s v="Home"/>
    <x v="2"/>
    <n v="3"/>
    <n v="138.65"/>
    <n v="0.2"/>
    <n v="332.76"/>
    <n v="272.99"/>
    <n v="59.77"/>
    <s v="Returned"/>
    <s v="OK"/>
    <s v="OK"/>
  </r>
  <r>
    <s v="ORD0421"/>
    <d v="2025-12-29T00:00:00"/>
    <s v="CUST0054"/>
    <s v="Water Bottle"/>
    <s v="Home"/>
    <x v="2"/>
    <n v="3"/>
    <n v="111"/>
    <n v="0"/>
    <n v="333"/>
    <n v="242.11"/>
    <n v="90.89"/>
    <s v="Cancelled"/>
    <s v="OK"/>
    <s v="OK"/>
  </r>
  <r>
    <s v="ORD0066"/>
    <d v="2025-12-23T00:00:00"/>
    <s v="CUST0041"/>
    <s v="Water Bottle"/>
    <s v="Home"/>
    <x v="2"/>
    <n v="4"/>
    <n v="87.76"/>
    <n v="0.05"/>
    <n v="333.49"/>
    <n v="241.81"/>
    <n v="91.68"/>
    <s v="Returned"/>
    <s v="OK"/>
    <s v="OK"/>
  </r>
  <r>
    <s v="ORD0048"/>
    <d v="2025-09-25T00:00:00"/>
    <s v="CUST0067"/>
    <s v="Pen Set"/>
    <s v="Stationery"/>
    <x v="3"/>
    <n v="3"/>
    <n v="118.65"/>
    <n v="0.05"/>
    <n v="338.15"/>
    <n v="241.33"/>
    <n v="96.82"/>
    <s v="Cancelled"/>
    <s v="OK"/>
    <s v="OK"/>
  </r>
  <r>
    <s v="ORD0353"/>
    <d v="2025-11-25T00:00:00"/>
    <s v="CUST0166"/>
    <s v="Backpack"/>
    <s v="Accessories"/>
    <x v="1"/>
    <n v="5"/>
    <n v="79.64"/>
    <n v="0.15"/>
    <n v="338.47"/>
    <n v="272.5"/>
    <n v="65.97"/>
    <s v="Completed"/>
    <s v="OK"/>
    <s v="OK"/>
  </r>
  <r>
    <s v="ORD0105"/>
    <d v="2025-04-21T00:00:00"/>
    <s v="CUST0104"/>
    <s v="Planner"/>
    <s v="Stationery"/>
    <x v="2"/>
    <n v="2"/>
    <n v="170.93"/>
    <n v="0"/>
    <n v="341.86"/>
    <n v="248.15"/>
    <n v="93.71"/>
    <s v="Completed"/>
    <s v="OK"/>
    <s v="OK"/>
  </r>
  <r>
    <s v="ORD0274"/>
    <d v="2025-02-28T00:00:00"/>
    <s v="CUST0138"/>
    <s v="Sticky Notes"/>
    <s v="Stationery"/>
    <x v="1"/>
    <n v="3"/>
    <n v="119.97"/>
    <n v="0.05"/>
    <n v="341.91"/>
    <n v="194.44"/>
    <n v="147.47"/>
    <s v="Returned"/>
    <s v="OK"/>
    <s v="OK"/>
  </r>
  <r>
    <s v="ORD0203"/>
    <d v="2025-02-21T00:00:00"/>
    <s v="CUST0027"/>
    <s v="Notebook"/>
    <s v="Stationery"/>
    <x v="3"/>
    <n v="5"/>
    <n v="68.48"/>
    <n v="0"/>
    <n v="342.4"/>
    <n v="238.23"/>
    <n v="104.17"/>
    <s v="Cancelled"/>
    <s v="OK"/>
    <s v="OK"/>
  </r>
  <r>
    <s v="ORD0107"/>
    <d v="2025-10-29T00:00:00"/>
    <s v="CUST0101"/>
    <s v="Keyboard"/>
    <s v="Electronics"/>
    <x v="3"/>
    <n v="3"/>
    <n v="134.66999999999999"/>
    <n v="0.15"/>
    <n v="343.41"/>
    <n v="284.23"/>
    <n v="59.18"/>
    <s v="Completed"/>
    <s v="OK"/>
    <s v="OK"/>
  </r>
  <r>
    <s v="ORD0046"/>
    <d v="2025-06-29T00:00:00"/>
    <s v="CUST0138"/>
    <s v="Storage Box"/>
    <s v="Home"/>
    <x v="0"/>
    <n v="5"/>
    <n v="76.540000000000006"/>
    <n v="0.1"/>
    <n v="344.43"/>
    <n v="255.06"/>
    <n v="89.37"/>
    <s v="Completed"/>
    <s v="OK"/>
    <s v="OK"/>
  </r>
  <r>
    <s v="ORD0461"/>
    <d v="2025-11-17T00:00:00"/>
    <s v="CUST0064"/>
    <s v="Backpack"/>
    <s v="Accessories"/>
    <x v="1"/>
    <n v="3"/>
    <n v="127.91"/>
    <n v="0.1"/>
    <n v="345.36"/>
    <n v="218.47"/>
    <n v="126.89"/>
    <s v="Completed"/>
    <s v="OK"/>
    <s v="OK"/>
  </r>
  <r>
    <s v="ORD0293"/>
    <d v="2025-10-02T00:00:00"/>
    <s v="CUST0028"/>
    <s v="Sticky Notes"/>
    <s v="Stationery"/>
    <x v="2"/>
    <n v="2"/>
    <n v="174.19"/>
    <n v="0"/>
    <n v="348.38"/>
    <n v="265.57"/>
    <n v="82.81"/>
    <s v="Completed"/>
    <s v="OK"/>
    <s v="OK"/>
  </r>
  <r>
    <s v="ORD0097"/>
    <d v="2025-02-11T00:00:00"/>
    <s v="CUST0089"/>
    <s v="Wireless Mouse"/>
    <s v="Electronics"/>
    <x v="0"/>
    <n v="3"/>
    <n v="122.41"/>
    <n v="0.05"/>
    <n v="348.87"/>
    <n v="229.43"/>
    <n v="119.44"/>
    <s v="Cancelled"/>
    <s v="OK"/>
    <s v="OK"/>
  </r>
  <r>
    <s v="ORD0061"/>
    <d v="2025-12-27T00:00:00"/>
    <s v="CUST0167"/>
    <s v="Backpack"/>
    <s v="Accessories"/>
    <x v="3"/>
    <n v="5"/>
    <n v="77.69"/>
    <n v="0.1"/>
    <n v="349.6"/>
    <n v="269.99"/>
    <n v="79.61"/>
    <s v="Cancelled"/>
    <s v="OK"/>
    <s v="OK"/>
  </r>
  <r>
    <s v="ORD0288"/>
    <d v="2025-09-05T00:00:00"/>
    <s v="CUST0156"/>
    <s v="Office Chair"/>
    <s v="Home"/>
    <x v="1"/>
    <n v="3"/>
    <n v="117.07"/>
    <n v="0"/>
    <n v="351.21"/>
    <n v="264.41000000000003"/>
    <n v="86.8"/>
    <s v="Completed"/>
    <s v="OK"/>
    <s v="OK"/>
  </r>
  <r>
    <s v="ORD0428"/>
    <d v="2025-09-04T00:00:00"/>
    <s v="CUST0104"/>
    <s v="Wireless Mouse"/>
    <s v="Electronics"/>
    <x v="3"/>
    <n v="5"/>
    <n v="78.709999999999994"/>
    <n v="0.1"/>
    <n v="354.2"/>
    <n v="235.7"/>
    <n v="118.5"/>
    <s v="Cancelled"/>
    <s v="OK"/>
    <s v="OK"/>
  </r>
  <r>
    <s v="ORD0033"/>
    <d v="2025-08-21T00:00:00"/>
    <s v="CUST0037"/>
    <s v="USB Hub"/>
    <s v="Electronics"/>
    <x v="2"/>
    <n v="4"/>
    <n v="88.83"/>
    <n v="0"/>
    <n v="355.32"/>
    <n v="289.60000000000002"/>
    <n v="65.72"/>
    <s v="Returned"/>
    <s v="OK"/>
    <s v="OK"/>
  </r>
  <r>
    <s v="ORD0432"/>
    <d v="2025-12-20T00:00:00"/>
    <s v="CUST0141"/>
    <s v="Desk Lamp"/>
    <s v="Home"/>
    <x v="0"/>
    <n v="3"/>
    <n v="124.78"/>
    <n v="0.05"/>
    <n v="355.62"/>
    <n v="275.99"/>
    <n v="79.63"/>
    <s v="Cancelled"/>
    <s v="OK"/>
    <s v="OK"/>
  </r>
  <r>
    <s v="ORD0181"/>
    <d v="2025-08-25T00:00:00"/>
    <s v="CUST0018"/>
    <s v="Office Chair"/>
    <s v="Home"/>
    <x v="2"/>
    <n v="2"/>
    <n v="178.65"/>
    <n v="0"/>
    <n v="357.3"/>
    <n v="235.01"/>
    <n v="122.29"/>
    <s v="Completed"/>
    <s v="OK"/>
    <s v="OK"/>
  </r>
  <r>
    <s v="ORD0068"/>
    <d v="2025-09-08T00:00:00"/>
    <s v="CUST0109"/>
    <s v="Storage Box"/>
    <s v="Home"/>
    <x v="3"/>
    <n v="3"/>
    <n v="132.82"/>
    <n v="0.1"/>
    <n v="358.61"/>
    <n v="242.23"/>
    <n v="116.38"/>
    <s v="Completed"/>
    <s v="OK"/>
    <s v="OK"/>
  </r>
  <r>
    <s v="ORD0408"/>
    <d v="2025-05-14T00:00:00"/>
    <s v="CUST0027"/>
    <s v="Cable Organizer"/>
    <s v="Accessories"/>
    <x v="0"/>
    <n v="3"/>
    <n v="119.54"/>
    <n v="0"/>
    <n v="358.62"/>
    <n v="198.87"/>
    <n v="159.75"/>
    <s v="Completed"/>
    <s v="OK"/>
    <s v="OK"/>
  </r>
  <r>
    <s v="ORD0458"/>
    <d v="2025-07-02T00:00:00"/>
    <s v="CUST0028"/>
    <s v="Backpack"/>
    <s v="Accessories"/>
    <x v="3"/>
    <n v="4"/>
    <n v="105.95"/>
    <n v="0.15"/>
    <n v="360.23"/>
    <n v="239.1"/>
    <n v="121.13"/>
    <s v="Completed"/>
    <s v="OK"/>
    <s v="OK"/>
  </r>
  <r>
    <s v="ORD0113"/>
    <d v="2025-11-01T00:00:00"/>
    <s v="CUST0173"/>
    <s v="Backpack"/>
    <s v="Electonic"/>
    <x v="3"/>
    <n v="5"/>
    <n v="76.34"/>
    <n v="0.05"/>
    <n v="362.62"/>
    <n v="286.45"/>
    <n v="76.17"/>
    <s v="Cancelled"/>
    <s v="OK"/>
    <s v="OK"/>
  </r>
  <r>
    <s v="ORD0494"/>
    <d v="2025-08-26T00:00:00"/>
    <s v="CUST0104"/>
    <s v="Wireless Mouse"/>
    <s v="Electronics"/>
    <x v="2"/>
    <n v="4"/>
    <n v="115.1"/>
    <n v="0.2"/>
    <n v="368.32"/>
    <n v="237.04"/>
    <n v="131.28"/>
    <s v="Completed"/>
    <s v="OK"/>
    <s v="OK"/>
  </r>
  <r>
    <s v="ORD0400"/>
    <d v="2025-11-24T00:00:00"/>
    <s v="CUST0124"/>
    <s v="Water Bottle"/>
    <s v="Home"/>
    <x v="3"/>
    <n v="3"/>
    <n v="154.32"/>
    <n v="0.2"/>
    <n v="370.37"/>
    <n v="273.48"/>
    <n v="96.89"/>
    <s v="Returned"/>
    <s v="OK"/>
    <s v="OK"/>
  </r>
  <r>
    <s v="ORD0177"/>
    <d v="2025-02-28T00:00:00"/>
    <s v="CUST0131"/>
    <s v="Planner"/>
    <s v="Stationery"/>
    <x v="2"/>
    <n v="4"/>
    <n v="103.52"/>
    <n v="0.1"/>
    <n v="372.67"/>
    <n v="230.51"/>
    <n v="142.16"/>
    <s v="Completed"/>
    <s v="OK"/>
    <s v="OK"/>
  </r>
  <r>
    <s v="ORD0261"/>
    <d v="2025-03-16T00:00:00"/>
    <s v="CUST0103"/>
    <s v="Keyboard"/>
    <s v="Electronics"/>
    <x v="3"/>
    <n v="4"/>
    <n v="93.34"/>
    <n v="0"/>
    <n v="373.36"/>
    <n v="282.18"/>
    <n v="91.18"/>
    <s v="Returned"/>
    <s v="OK"/>
    <s v="OK"/>
  </r>
  <r>
    <s v="ORD0125"/>
    <d v="2025-03-17T00:00:00"/>
    <s v="CUST0087"/>
    <s v="Keyboard"/>
    <s v="Electronics"/>
    <x v="3"/>
    <n v="4"/>
    <n v="93.67"/>
    <n v="0"/>
    <n v="374.68"/>
    <n v="251.63"/>
    <n v="123.05"/>
    <s v="Completed"/>
    <s v="OK"/>
    <s v="OK"/>
  </r>
  <r>
    <s v="ORD0487"/>
    <d v="2025-11-09T00:00:00"/>
    <s v="CUST0052"/>
    <s v="Pen Set"/>
    <s v="Stationery"/>
    <x v="3"/>
    <n v="4"/>
    <n v="94.22"/>
    <n v="0"/>
    <n v="376.88"/>
    <n v="211.23"/>
    <n v="165.65"/>
    <s v="Completed"/>
    <s v="OK"/>
    <s v="OK"/>
  </r>
  <r>
    <s v="ORD0106"/>
    <d v="2025-04-02T00:00:00"/>
    <s v="CUST0031"/>
    <s v="Cable Organizer"/>
    <s v="Accessories"/>
    <x v="0"/>
    <n v="4"/>
    <n v="105.2"/>
    <n v="0.1"/>
    <n v="378.72"/>
    <n v="313.11"/>
    <n v="65.61"/>
    <s v="Completed"/>
    <s v="OK"/>
    <s v="OK"/>
  </r>
  <r>
    <s v="ORD0216"/>
    <d v="2025-02-05T00:00:00"/>
    <s v="CUST0077"/>
    <s v="Desk Lamp"/>
    <s v="Home"/>
    <x v="3"/>
    <n v="3"/>
    <n v="133.66999999999999"/>
    <n v="0.05"/>
    <n v="380.96"/>
    <n v="216.4"/>
    <n v="164.56"/>
    <s v="Returned"/>
    <s v="OK"/>
    <s v="OK"/>
  </r>
  <r>
    <s v="ORD0060"/>
    <d v="2025-01-19T00:00:00"/>
    <s v="CUST0039"/>
    <s v="Water Bottle"/>
    <s v="Home"/>
    <x v="0"/>
    <n v="3"/>
    <n v="141.66999999999999"/>
    <n v="0.1"/>
    <n v="382.51"/>
    <n v="259.06"/>
    <n v="123.45"/>
    <s v="Completed"/>
    <s v="OK"/>
    <s v="OK"/>
  </r>
  <r>
    <s v="ORD0478"/>
    <d v="2025-02-08T00:00:00"/>
    <s v="CUST0072"/>
    <s v="Keyboard"/>
    <s v="Electronics"/>
    <x v="3"/>
    <n v="3"/>
    <n v="134.63"/>
    <n v="0.05"/>
    <n v="383.7"/>
    <n v="311.14"/>
    <n v="72.56"/>
    <s v="Returned"/>
    <s v="OK"/>
    <s v="OK"/>
  </r>
  <r>
    <s v="ORD0313"/>
    <d v="2025-03-22T00:00:00"/>
    <s v="CUST0169"/>
    <s v="Pen Set"/>
    <s v="Stationery"/>
    <x v="0"/>
    <n v="3"/>
    <n v="135.44999999999999"/>
    <n v="0.05"/>
    <n v="386.03"/>
    <n v="308.32"/>
    <n v="77.709999999999994"/>
    <s v="Completed"/>
    <s v="OK"/>
    <s v="OK"/>
  </r>
  <r>
    <s v="ORD0429"/>
    <d v="2025-05-06T00:00:00"/>
    <s v="CUST0160"/>
    <s v="Desk Lamp"/>
    <s v="Home"/>
    <x v="0"/>
    <n v="4"/>
    <n v="-25"/>
    <n v="0"/>
    <n v="386.28"/>
    <n v="222.14"/>
    <n v="164.14"/>
    <s v="Completed"/>
    <s v="Mismatch"/>
    <s v="OK"/>
  </r>
  <r>
    <s v="ORD0070"/>
    <d v="2025-11-07T00:00:00"/>
    <s v="CUST0006"/>
    <s v="Keyboard"/>
    <s v="Electronics"/>
    <x v="2"/>
    <n v="3"/>
    <n v="152.84"/>
    <n v="0.15"/>
    <n v="389.74"/>
    <n v="269.16000000000003"/>
    <n v="120.58"/>
    <s v="Completed"/>
    <s v="OK"/>
    <s v="OK"/>
  </r>
  <r>
    <s v="ORD0031"/>
    <d v="2025-10-13T00:00:00"/>
    <s v="CUST0097"/>
    <s v="Phone Stand"/>
    <s v="Accessories"/>
    <x v="2"/>
    <n v="5"/>
    <n v="91.72"/>
    <n v="0.15"/>
    <n v="389.81"/>
    <n v="265.19"/>
    <n v="124.62"/>
    <s v="Cancelled"/>
    <s v="OK"/>
    <s v="OK"/>
  </r>
  <r>
    <s v="ORD0387"/>
    <d v="2025-11-13T00:00:00"/>
    <s v="CUST0003"/>
    <s v="Wireless Mouse"/>
    <s v="Electronics"/>
    <x v="2"/>
    <n v="4"/>
    <n v="97.87"/>
    <n v="0"/>
    <n v="391.48"/>
    <n v="329.6"/>
    <n v="61.88"/>
    <s v="Cancelled"/>
    <s v="OK"/>
    <s v="OK"/>
  </r>
  <r>
    <s v="ORD0144"/>
    <d v="2025-02-28T00:00:00"/>
    <s v="CUST0072"/>
    <s v="Phone Stand"/>
    <s v="Accessories"/>
    <x v="2"/>
    <n v="3"/>
    <n v="163.44"/>
    <n v="0.2"/>
    <n v="392.26"/>
    <n v="303.22000000000003"/>
    <n v="89.04"/>
    <s v="Returned"/>
    <s v="OK"/>
    <s v="OK"/>
  </r>
  <r>
    <s v="ORD0397"/>
    <d v="2025-06-17T00:00:00"/>
    <s v="CUST0083"/>
    <s v="Headphones"/>
    <s v="Electronics"/>
    <x v="3"/>
    <n v="4"/>
    <n v="104.14"/>
    <n v="0.05"/>
    <n v="395.73"/>
    <n v="301.49"/>
    <n v="94.24"/>
    <s v="Completed"/>
    <s v="OK"/>
    <s v="OK"/>
  </r>
  <r>
    <s v="ORD0368"/>
    <d v="2025-10-21T00:00:00"/>
    <s v="CUST0062"/>
    <s v="Storage Box"/>
    <s v="Home"/>
    <x v="0"/>
    <n v="3"/>
    <n v="138.91"/>
    <n v="0.05"/>
    <n v="395.89"/>
    <n v="330.46"/>
    <n v="65.430000000000007"/>
    <s v="Cancelled"/>
    <s v="OK"/>
    <s v="OK"/>
  </r>
  <r>
    <s v="ORD0492"/>
    <d v="2025-02-07T00:00:00"/>
    <s v="CUST0119"/>
    <s v="Laptop Sleeve"/>
    <s v="Accessories"/>
    <x v="3"/>
    <n v="4"/>
    <n v="110.73"/>
    <n v="0.1"/>
    <n v="398.63"/>
    <n v="242.24"/>
    <n v="156.38999999999999"/>
    <s v="Returned"/>
    <s v="OK"/>
    <s v="OK"/>
  </r>
  <r>
    <s v="ORD0090"/>
    <d v="2025-03-03T00:00:00"/>
    <s v="CUST0079"/>
    <s v="Sticky Notes"/>
    <s v="Stationery"/>
    <x v="1"/>
    <n v="3"/>
    <n v="156.87"/>
    <n v="0.15"/>
    <n v="400.02"/>
    <n v="250.96"/>
    <n v="149.06"/>
    <s v="Completed"/>
    <s v="OK"/>
    <s v="OK"/>
  </r>
  <r>
    <s v="ORD0418"/>
    <d v="2025-12-11T00:00:00"/>
    <s v="CUST0039"/>
    <s v="Planner"/>
    <s v="Stationery"/>
    <x v="3"/>
    <n v="3"/>
    <n v="140.57"/>
    <n v="0.05"/>
    <n v="400.62"/>
    <n v="245.13"/>
    <n v="155.49"/>
    <s v="Completed"/>
    <s v="OK"/>
    <s v="OK"/>
  </r>
  <r>
    <s v="ORD0366"/>
    <d v="2025-02-26T00:00:00"/>
    <s v="CUST0047"/>
    <s v="Laptop Sleeve"/>
    <s v="Accessories"/>
    <x v="1"/>
    <n v="4"/>
    <n v="118.56"/>
    <n v="0.15"/>
    <n v="403.1"/>
    <n v="336.27"/>
    <n v="66.83"/>
    <s v="Returned"/>
    <s v="OK"/>
    <s v="OK"/>
  </r>
  <r>
    <s v="ORD0201"/>
    <d v="2025-12-30T00:00:00"/>
    <s v="CUST0123"/>
    <s v="Cable Organizer"/>
    <s v="Accessories"/>
    <x v="1"/>
    <n v="4"/>
    <n v="112.56"/>
    <n v="0.1"/>
    <n v="405.22"/>
    <n v="321.7"/>
    <n v="83.52"/>
    <s v="Completed"/>
    <s v="OK"/>
    <s v="OK"/>
  </r>
  <r>
    <s v="ORD0416"/>
    <d v="2025-04-04T00:00:00"/>
    <s v="CUST0048"/>
    <s v="Planner"/>
    <s v="Stationery"/>
    <x v="1"/>
    <n v="5"/>
    <n v="81.06"/>
    <n v="0"/>
    <n v="405.3"/>
    <n v="295.52"/>
    <n v="109.78"/>
    <s v="Completed"/>
    <s v="OK"/>
    <s v="OK"/>
  </r>
  <r>
    <s v="ORD0009"/>
    <d v="2025-12-11T00:00:00"/>
    <s v="CUST0071"/>
    <s v="USB Hub"/>
    <s v="Electronics"/>
    <x v="3"/>
    <n v="4"/>
    <n v="101.34"/>
    <n v="0"/>
    <n v="405.36"/>
    <n v="320.5"/>
    <n v="84.86"/>
    <s v="Completed"/>
    <s v="OK"/>
    <s v="OK"/>
  </r>
  <r>
    <s v="ORD0473"/>
    <d v="2025-04-22T00:00:00"/>
    <s v="CUST0060"/>
    <s v="Pen Set"/>
    <s v="Stationery"/>
    <x v="0"/>
    <n v="5"/>
    <n v="90.3"/>
    <n v="0.1"/>
    <n v="406.35"/>
    <n v="260.51"/>
    <n v="145.84"/>
    <s v="Completed"/>
    <s v="OK"/>
    <s v="OK"/>
  </r>
  <r>
    <s v="ORD0362"/>
    <d v="2025-08-02T00:00:00"/>
    <s v="CUST0059"/>
    <s v="USB Hub"/>
    <s v="Electronics"/>
    <x v="2"/>
    <n v="3"/>
    <n v="150.72"/>
    <n v="0.1"/>
    <n v="406.94"/>
    <n v="259.36"/>
    <n v="147.58000000000001"/>
    <s v="Cancelled"/>
    <s v="OK"/>
    <s v="OK"/>
  </r>
  <r>
    <s v="ORD0282"/>
    <d v="2025-03-04T00:00:00"/>
    <s v="CUST0109"/>
    <s v="Pen Set"/>
    <s v="Stationery"/>
    <x v="1"/>
    <n v="3"/>
    <n v="159.78"/>
    <n v="0.15"/>
    <n v="407.44"/>
    <n v="285.83999999999997"/>
    <n v="121.6"/>
    <s v="Completed"/>
    <s v="OK"/>
    <s v="OK"/>
  </r>
  <r>
    <s v="ORD0028"/>
    <d v="2025-12-15T00:00:00"/>
    <s v="CUST0146"/>
    <s v="Sticky Notes"/>
    <s v="Stationery"/>
    <x v="2"/>
    <n v="4"/>
    <n v="107.88"/>
    <n v="0.05"/>
    <n v="409.94"/>
    <n v="341.09"/>
    <n v="68.849999999999994"/>
    <s v="Completed"/>
    <s v="OK"/>
    <s v="OK"/>
  </r>
  <r>
    <s v="ORD0264"/>
    <d v="2025-12-22T00:00:00"/>
    <s v="CUST0070"/>
    <s v="Backpack"/>
    <s v="Accessories"/>
    <x v="0"/>
    <n v="5"/>
    <n v="87.42"/>
    <n v="0.05"/>
    <n v="415.24"/>
    <n v="282.58999999999997"/>
    <n v="132.65"/>
    <s v="Cancelled"/>
    <s v="OK"/>
    <s v="OK"/>
  </r>
  <r>
    <s v="ORD0392"/>
    <d v="2025-02-20T00:00:00"/>
    <s v="CUST0036"/>
    <s v="Backpack"/>
    <s v="Accessories"/>
    <x v="3"/>
    <n v="3"/>
    <n v="138.55000000000001"/>
    <n v="1.25"/>
    <n v="415.65"/>
    <n v="292.68"/>
    <n v="122.97"/>
    <s v="Completed"/>
    <s v="Mismatch"/>
    <s v="OK"/>
  </r>
  <r>
    <s v="ORD0167"/>
    <d v="2025-04-27T00:00:00"/>
    <s v="CUST0130"/>
    <s v="Sticky Notes"/>
    <s v="Stationery"/>
    <x v="2"/>
    <n v="4"/>
    <m/>
    <n v="0"/>
    <n v="416.2"/>
    <n v="248.99"/>
    <n v="167.21"/>
    <s v="Cancelled"/>
    <s v="Mismatch"/>
    <s v="OK"/>
  </r>
  <r>
    <s v="ORD0197"/>
    <d v="2025-10-06T00:00:00"/>
    <s v="CUST0083"/>
    <s v="Storage Box"/>
    <s v="Home"/>
    <x v="3"/>
    <n v="4"/>
    <n v="122.83"/>
    <n v="0.15"/>
    <n v="417.62"/>
    <n v="325.19"/>
    <n v="92.43"/>
    <s v="Completed"/>
    <s v="OK"/>
    <s v="OK"/>
  </r>
  <r>
    <s v="ORD0140"/>
    <d v="2025-01-29T00:00:00"/>
    <s v="CUST0062"/>
    <s v="Office Chair"/>
    <s v="Home"/>
    <x v="3"/>
    <n v="5"/>
    <n v="98.98"/>
    <n v="0.15"/>
    <n v="420.66"/>
    <n v="332.17"/>
    <n v="88.49"/>
    <s v="Returned"/>
    <s v="OK"/>
    <s v="OK"/>
  </r>
  <r>
    <s v="ORD0152"/>
    <d v="2025-12-19T00:00:00"/>
    <s v="CUST0059"/>
    <s v="Pen Set"/>
    <s v="Stationery"/>
    <x v="1"/>
    <n v="3"/>
    <n v="156.69"/>
    <n v="0.1"/>
    <n v="423.06"/>
    <n v="298.83999999999997"/>
    <n v="124.22"/>
    <s v="Returned"/>
    <s v="OK"/>
    <s v="OK"/>
  </r>
  <r>
    <s v="ORD0034"/>
    <d v="2025-06-10T00:00:00"/>
    <s v="CUST0067"/>
    <s v="Wireless Mouse"/>
    <s v="Electronics"/>
    <x v="2"/>
    <n v="5"/>
    <n v="106.43"/>
    <n v="0.2"/>
    <n v="425.72"/>
    <n v="243.77"/>
    <n v="181.95"/>
    <s v="Cancelled"/>
    <s v="OK"/>
    <s v="OK"/>
  </r>
  <r>
    <s v="ORD0361"/>
    <d v="2025-05-15T00:00:00"/>
    <s v="CUST0111"/>
    <s v="Office Chair"/>
    <s v="Home"/>
    <x v="1"/>
    <n v="4"/>
    <n v="118.4"/>
    <n v="0.1"/>
    <n v="426.24"/>
    <n v="307.08"/>
    <n v="119.16"/>
    <s v="Cancelled"/>
    <s v="OK"/>
    <s v="OK"/>
  </r>
  <r>
    <s v="ORD0051"/>
    <d v="2025-06-13T00:00:00"/>
    <s v="CUST0138"/>
    <s v="Desk Lamp"/>
    <s v="Home"/>
    <x v="3"/>
    <n v="3"/>
    <n v="158.93"/>
    <n v="0.1"/>
    <n v="429.11"/>
    <n v="339.45"/>
    <n v="89.66"/>
    <s v="Completed"/>
    <s v="OK"/>
    <s v="OK"/>
  </r>
  <r>
    <s v="ORD0460"/>
    <d v="2025-10-04T00:00:00"/>
    <s v="CUST0172"/>
    <s v="Office Chair"/>
    <s v="Home"/>
    <x v="3"/>
    <n v="3"/>
    <n v="151.25"/>
    <n v="0.05"/>
    <n v="431.06"/>
    <n v="348.77"/>
    <n v="82.29"/>
    <s v="Completed"/>
    <s v="OK"/>
    <s v="OK"/>
  </r>
  <r>
    <s v="ORD0223"/>
    <d v="2025-06-12T00:00:00"/>
    <s v="CUST0066"/>
    <s v="Storage Box"/>
    <s v="Home"/>
    <x v="1"/>
    <n v="3"/>
    <n v="143.88999999999999"/>
    <n v="0"/>
    <n v="431.67"/>
    <n v="247.9"/>
    <n v="183.77"/>
    <s v="Cancelled"/>
    <s v="OK"/>
    <s v="OK"/>
  </r>
  <r>
    <s v="ORD0103"/>
    <d v="2025-04-05T00:00:00"/>
    <s v="CUST0115"/>
    <s v="Backpack"/>
    <s v="Accessories"/>
    <x v="1"/>
    <n v="5"/>
    <n v="91.65"/>
    <n v="0.05"/>
    <n v="435.34"/>
    <n v="340.25"/>
    <n v="95.09"/>
    <s v="Completed"/>
    <s v="OK"/>
    <s v="OK"/>
  </r>
  <r>
    <s v="ORD0120"/>
    <d v="2025-08-22T00:00:00"/>
    <s v="CUST0130"/>
    <s v="Notebook"/>
    <s v="Stationery"/>
    <x v="1"/>
    <n v="4"/>
    <n v="129.08000000000001"/>
    <n v="0.15"/>
    <n v="438.87"/>
    <n v="323.64"/>
    <n v="115.23"/>
    <s v="Completed"/>
    <s v="OK"/>
    <s v="OK"/>
  </r>
  <r>
    <s v="ORD0455"/>
    <d v="2025-10-31T00:00:00"/>
    <s v="CUST0035"/>
    <s v="Planner"/>
    <s v="Stationery"/>
    <x v="0"/>
    <n v="3"/>
    <n v="154.06"/>
    <n v="0.05"/>
    <n v="439.07"/>
    <n v="243.29"/>
    <n v="195.78"/>
    <s v="Returned"/>
    <s v="OK"/>
    <s v="OK"/>
  </r>
  <r>
    <s v="ORD0149"/>
    <d v="2025-09-18T00:00:00"/>
    <s v="CUST0139"/>
    <s v="Wireless Mouse"/>
    <s v="Electronics"/>
    <x v="1"/>
    <n v="3"/>
    <n v="172.37"/>
    <n v="0.15"/>
    <n v="439.54"/>
    <n v="348.49"/>
    <n v="91.05"/>
    <s v="Completed"/>
    <s v="OK"/>
    <s v="OK"/>
  </r>
  <r>
    <s v="ORD0184"/>
    <d v="2025-01-28T00:00:00"/>
    <s v="CUST0066"/>
    <s v="Backpack"/>
    <s v="Accessories"/>
    <x v="1"/>
    <n v="4"/>
    <n v="109.99"/>
    <n v="0"/>
    <n v="439.96"/>
    <n v="293.60000000000002"/>
    <n v="146.36000000000001"/>
    <s v="Completed"/>
    <s v="OK"/>
    <s v="OK"/>
  </r>
  <r>
    <s v="ORD0403"/>
    <d v="2025-05-08T00:00:00"/>
    <s v="CUST0054"/>
    <s v="Wireless Mouse"/>
    <s v="Electronics"/>
    <x v="3"/>
    <n v="4"/>
    <n v="123.49"/>
    <n v="0.1"/>
    <n v="444.56"/>
    <n v="271.05"/>
    <n v="173.51"/>
    <s v="Completed"/>
    <s v="OK"/>
    <s v="OK"/>
  </r>
  <r>
    <s v="ORD0364"/>
    <d v="2025-10-05T00:00:00"/>
    <s v="CUST0017"/>
    <s v="Notebook"/>
    <s v="Stationery"/>
    <x v="1"/>
    <n v="5"/>
    <n v="99.29"/>
    <n v="0.1"/>
    <n v="446.81"/>
    <n v="332.15"/>
    <n v="114.66"/>
    <s v="Returned"/>
    <s v="OK"/>
    <s v="OK"/>
  </r>
  <r>
    <s v="ORD0445"/>
    <d v="2025-09-26T00:00:00"/>
    <s v="CUST0011"/>
    <s v="Pen Set"/>
    <s v="Stationery"/>
    <x v="0"/>
    <n v="5"/>
    <n v="101.16"/>
    <n v="0.1"/>
    <n v="455.22"/>
    <n v="292.27999999999997"/>
    <n v="162.94"/>
    <s v="Cancelled"/>
    <s v="OK"/>
    <s v="OK"/>
  </r>
  <r>
    <s v="ORD0091"/>
    <d v="2025-10-02T00:00:00"/>
    <s v="CUST0020"/>
    <s v="Pen Set"/>
    <s v="Stationery"/>
    <x v="3"/>
    <n v="3"/>
    <n v="152.24"/>
    <n v="0"/>
    <n v="456.72"/>
    <n v="383.83"/>
    <n v="72.89"/>
    <s v="Returned"/>
    <s v="OK"/>
    <s v="OK"/>
  </r>
  <r>
    <s v="ORD0305"/>
    <d v="2025-07-11T00:00:00"/>
    <s v="CUST0062"/>
    <s v="Water Bottle"/>
    <s v="Home"/>
    <x v="0"/>
    <n v="3"/>
    <n v="153.16"/>
    <n v="0"/>
    <n v="459.48"/>
    <n v="316.52"/>
    <n v="142.96"/>
    <s v="Cancelled"/>
    <s v="OK"/>
    <s v="OK"/>
  </r>
  <r>
    <s v="ORD0300"/>
    <d v="2025-02-07T00:00:00"/>
    <s v="CUST0020"/>
    <s v="Backpack"/>
    <s v="Accessories"/>
    <x v="3"/>
    <n v="3"/>
    <n v="161.51"/>
    <n v="0.05"/>
    <n v="460.3"/>
    <n v="337"/>
    <n v="123.3"/>
    <s v="Completed"/>
    <s v="OK"/>
    <s v="OK"/>
  </r>
  <r>
    <s v="ORD0040"/>
    <d v="2025-12-16T00:00:00"/>
    <s v="CUST0047"/>
    <s v="Sticky Notes"/>
    <s v="Stationery"/>
    <x v="1"/>
    <n v="4"/>
    <n v="115.14"/>
    <n v="0"/>
    <n v="460.56"/>
    <n v="260.45"/>
    <n v="200.11"/>
    <s v="Returned"/>
    <s v="OK"/>
    <s v="OK"/>
  </r>
  <r>
    <s v="ORD0170"/>
    <d v="2025-12-19T00:00:00"/>
    <s v="CUST0002"/>
    <s v="Notebook"/>
    <s v="Stationery"/>
    <x v="3"/>
    <n v="4"/>
    <n v="128.82"/>
    <n v="0.1"/>
    <n v="463.75"/>
    <n v="256.42"/>
    <n v="207.33"/>
    <s v="Returned"/>
    <s v="OK"/>
    <s v="OK"/>
  </r>
  <r>
    <s v="ORD0230"/>
    <d v="2025-11-04T00:00:00"/>
    <s v="CUST0052"/>
    <s v="Notebook"/>
    <s v="Stationery"/>
    <x v="2"/>
    <n v="4"/>
    <n v="116.91"/>
    <n v="0"/>
    <n v="467.64"/>
    <n v="289.83999999999997"/>
    <n v="177.8"/>
    <s v="Returned"/>
    <s v="OK"/>
    <s v="OK"/>
  </r>
  <r>
    <s v="ORD0395"/>
    <d v="2025-09-28T00:00:00"/>
    <s v="CUST0100"/>
    <s v="Backpack"/>
    <s v="Accessories"/>
    <x v="2"/>
    <n v="4"/>
    <n v="123.42"/>
    <n v="0.05"/>
    <n v="469"/>
    <n v="335.24"/>
    <n v="133.76"/>
    <s v="Completed"/>
    <s v="OK"/>
    <s v="OK"/>
  </r>
  <r>
    <s v="ORD0439"/>
    <d v="2025-12-01T00:00:00"/>
    <s v="CUST0020"/>
    <s v="Cable Organizer"/>
    <s v="Accessories"/>
    <x v="2"/>
    <n v="4"/>
    <n v="119.51"/>
    <n v="0"/>
    <n v="478.04"/>
    <n v="316.77"/>
    <n v="161.27000000000001"/>
    <s v="Cancelled"/>
    <s v="OK"/>
    <s v="OK"/>
  </r>
  <r>
    <s v="ORD0253"/>
    <d v="2025-02-23T00:00:00"/>
    <s v="CUST0012"/>
    <s v="USB Hub"/>
    <s v="Electronics"/>
    <x v="3"/>
    <n v="5"/>
    <n v="100.66"/>
    <n v="0.05"/>
    <n v="478.13"/>
    <n v="384.61"/>
    <n v="93.52"/>
    <s v="Completed"/>
    <s v="OK"/>
    <s v="OK"/>
  </r>
  <r>
    <s v="ORD0412"/>
    <d v="2025-11-26T00:00:00"/>
    <s v="CUST0114"/>
    <s v="Keyboard"/>
    <s v="Electronics"/>
    <x v="1"/>
    <n v="4"/>
    <n v="132.82"/>
    <n v="0.1"/>
    <n v="478.15"/>
    <n v="369.05"/>
    <n v="109.1"/>
    <s v="Completed"/>
    <s v="OK"/>
    <s v="OK"/>
  </r>
  <r>
    <s v="ORD0413"/>
    <d v="2025-04-03T00:00:00"/>
    <s v="CUST0123"/>
    <s v="Storage Box"/>
    <s v="Home"/>
    <x v="3"/>
    <n v="3"/>
    <n v="161.09"/>
    <n v="0"/>
    <n v="483.27"/>
    <n v="382.83"/>
    <n v="100.44"/>
    <s v="Returned"/>
    <s v="OK"/>
    <s v="OK"/>
  </r>
  <r>
    <s v="ORD0129"/>
    <d v="2025-11-08T00:00:00"/>
    <s v="CUST0033"/>
    <s v="Cable Organizer"/>
    <s v="Accessories"/>
    <x v="0"/>
    <n v="3"/>
    <n v="171.28"/>
    <n v="0.05"/>
    <n v="488.15"/>
    <n v="408.2"/>
    <n v="79.95"/>
    <s v="Cancelled"/>
    <s v="OK"/>
    <s v="OK"/>
  </r>
  <r>
    <s v="ORD0457"/>
    <d v="2025-06-20T00:00:00"/>
    <s v="CUST0074"/>
    <s v="Wireless Mouse"/>
    <s v="Electronics"/>
    <x v="3"/>
    <n v="5"/>
    <n v="108.95"/>
    <n v="0.1"/>
    <n v="490.28"/>
    <n v="415.37"/>
    <n v="74.91"/>
    <s v="Completed"/>
    <s v="OK"/>
    <s v="OK"/>
  </r>
  <r>
    <s v="ORD0349"/>
    <d v="2025-11-12T00:00:00"/>
    <s v="CUST0120"/>
    <s v="Sticky Notes"/>
    <s v="Stationery"/>
    <x v="1"/>
    <n v="4"/>
    <n v="124.12"/>
    <n v="0"/>
    <n v="496.48"/>
    <n v="279.36"/>
    <n v="217.12"/>
    <s v="Cancelled"/>
    <s v="OK"/>
    <s v="OK"/>
  </r>
  <r>
    <s v="ORD0301"/>
    <d v="2025-03-08T00:00:00"/>
    <s v="CUST0086"/>
    <s v="Headphones"/>
    <s v="Electronics"/>
    <x v="2"/>
    <n v="4"/>
    <n v="124.35"/>
    <n v="0"/>
    <n v="497.4"/>
    <n v="308.52"/>
    <n v="188.88"/>
    <s v="Returned"/>
    <s v="OK"/>
    <s v="OK"/>
  </r>
  <r>
    <s v="ORD0433"/>
    <d v="2025-10-22T00:00:00"/>
    <s v="CUST0128"/>
    <s v="Keyboard"/>
    <s v="Electronics"/>
    <x v="2"/>
    <n v="5"/>
    <n v="99.59"/>
    <n v="0"/>
    <n v="497.95"/>
    <n v="364.35"/>
    <n v="133.6"/>
    <s v="Cancelled"/>
    <s v="OK"/>
    <s v="OK"/>
  </r>
  <r>
    <s v="ORD0218"/>
    <d v="2025-12-26T00:00:00"/>
    <s v="CUST0108"/>
    <s v="Sticky Notes"/>
    <s v="Stationery"/>
    <x v="3"/>
    <n v="3"/>
    <n v="167.47"/>
    <n v="0"/>
    <n v="502.41"/>
    <n v="336.51"/>
    <n v="165.9"/>
    <s v="Cancelled"/>
    <s v="OK"/>
    <s v="OK"/>
  </r>
  <r>
    <s v="ORD0015"/>
    <d v="2025-08-31T00:00:00"/>
    <s v="CUST0086"/>
    <s v="Headphones"/>
    <s v="Electronics"/>
    <x v="2"/>
    <n v="5"/>
    <n v="100.85"/>
    <n v="0"/>
    <n v="504.25"/>
    <n v="419.97"/>
    <n v="84.28"/>
    <s v="Completed"/>
    <s v="OK"/>
    <s v="OK"/>
  </r>
  <r>
    <s v="ORD0390"/>
    <d v="2025-07-21T00:00:00"/>
    <s v="CUST0032"/>
    <s v="Cable Organizer"/>
    <s v="Accessories"/>
    <x v="1"/>
    <n v="5"/>
    <n v="101.31"/>
    <n v="0"/>
    <n v="506.55"/>
    <n v="336.45"/>
    <n v="170.1"/>
    <s v="Completed"/>
    <s v="OK"/>
    <s v="OK"/>
  </r>
  <r>
    <s v="ORD0450"/>
    <d v="2025-06-14T00:00:00"/>
    <s v="CUST0063"/>
    <s v="Laptop Sleeve"/>
    <s v="Accessories"/>
    <x v="0"/>
    <n v="4"/>
    <n v="141.07"/>
    <n v="0.1"/>
    <n v="507.85"/>
    <n v="302.26"/>
    <n v="205.59"/>
    <s v="Completed"/>
    <s v="OK"/>
    <s v="OK"/>
  </r>
  <r>
    <s v="ORD0052"/>
    <d v="2025-09-25T00:00:00"/>
    <s v="CUST0113"/>
    <s v="USB Hub"/>
    <s v="Electronics"/>
    <x v="1"/>
    <n v="3"/>
    <n v="178.37"/>
    <n v="0.05"/>
    <n v="508.35"/>
    <n v="336.33"/>
    <n v="172.02"/>
    <s v="Cancelled"/>
    <s v="OK"/>
    <s v="OK"/>
  </r>
  <r>
    <s v="ORD0449"/>
    <d v="2025-07-26T00:00:00"/>
    <s v="CUST0132"/>
    <s v="Storage Box"/>
    <s v="Home"/>
    <x v="2"/>
    <n v="5"/>
    <n v="120.61"/>
    <n v="0.15"/>
    <n v="512.59"/>
    <n v="291.63"/>
    <n v="220.96"/>
    <s v="Cancelled"/>
    <s v="OK"/>
    <s v="OK"/>
  </r>
  <r>
    <s v="ORD0116"/>
    <d v="2025-09-04T00:00:00"/>
    <s v="CUST0067"/>
    <s v="Laptop Sleeve"/>
    <s v="Accessories"/>
    <x v="2"/>
    <n v="4"/>
    <n v="152.44"/>
    <n v="0.15"/>
    <n v="518.29999999999995"/>
    <n v="348.5"/>
    <n v="169.8"/>
    <s v="Completed"/>
    <s v="OK"/>
    <s v="OK"/>
  </r>
  <r>
    <s v="ORD0250"/>
    <d v="2025-01-23T00:00:00"/>
    <s v="CUST0157"/>
    <s v="Office Chair"/>
    <s v="Home"/>
    <x v="0"/>
    <n v="5"/>
    <n v="109.54"/>
    <n v="0.05"/>
    <n v="520.32000000000005"/>
    <n v="332.62"/>
    <n v="187.7"/>
    <s v="Completed"/>
    <s v="OK"/>
    <s v="OK"/>
  </r>
  <r>
    <s v="ORD0210"/>
    <d v="2025-03-19T00:00:00"/>
    <s v="CUST0077"/>
    <s v="Wireless Mouse"/>
    <s v="Electronics"/>
    <x v="3"/>
    <n v="5"/>
    <n v="118.42"/>
    <n v="0.1"/>
    <n v="532.89"/>
    <n v="380.49"/>
    <n v="152.4"/>
    <s v="Completed"/>
    <s v="OK"/>
    <s v="OK"/>
  </r>
  <r>
    <s v="ORD0263"/>
    <d v="2025-02-04T00:00:00"/>
    <s v="CUST0046"/>
    <s v="Storage Box"/>
    <s v="Home"/>
    <x v="0"/>
    <n v="5"/>
    <n v="128"/>
    <n v="0.15"/>
    <n v="544"/>
    <n v="426.92"/>
    <n v="117.08"/>
    <s v="Completed"/>
    <s v="OK"/>
    <s v="OK"/>
  </r>
  <r>
    <s v="ORD0159"/>
    <d v="2025-02-02T00:00:00"/>
    <s v="CUST0134"/>
    <s v="Backpack"/>
    <s v="Accessories"/>
    <x v="1"/>
    <n v="4"/>
    <n v="136.94"/>
    <n v="0"/>
    <n v="547.76"/>
    <n v="425.87"/>
    <n v="121.89"/>
    <s v="Cancelled"/>
    <s v="OK"/>
    <s v="OK"/>
  </r>
  <r>
    <s v="ORD0117"/>
    <d v="2025-04-07T00:00:00"/>
    <s v="CUST0092"/>
    <s v="Laptop Sleeve"/>
    <s v="Accessories"/>
    <x v="1"/>
    <n v="5"/>
    <n v="110.35"/>
    <n v="0"/>
    <n v="551.75"/>
    <n v="397.72"/>
    <n v="154.03"/>
    <s v="Completed"/>
    <s v="OK"/>
    <s v="OK"/>
  </r>
  <r>
    <s v="ORD0195"/>
    <d v="2025-07-11T00:00:00"/>
    <s v="CUST0063"/>
    <s v="Pen Set"/>
    <s v="Stationery"/>
    <x v="3"/>
    <n v="5"/>
    <n v="122.72"/>
    <n v="0.1"/>
    <n v="552.24"/>
    <n v="361.48"/>
    <n v="190.76"/>
    <s v="Completed"/>
    <s v="OK"/>
    <s v="OK"/>
  </r>
  <r>
    <s v="ORD0279"/>
    <d v="2025-02-16T00:00:00"/>
    <s v="CUST0143"/>
    <s v="Sticky Notes"/>
    <s v="Home &amp; Living"/>
    <x v="2"/>
    <n v="4"/>
    <n v="138.29"/>
    <n v="0"/>
    <n v="553.16"/>
    <n v="356.07"/>
    <n v="197.09"/>
    <s v="Completed"/>
    <s v="OK"/>
    <s v="OK"/>
  </r>
  <r>
    <s v="ORD0389"/>
    <d v="2025-02-16T00:00:00"/>
    <s v="CUST0118"/>
    <s v="Storage Box"/>
    <s v="Home"/>
    <x v="2"/>
    <n v="5"/>
    <n v="130.57"/>
    <n v="0.15"/>
    <n v="554.91999999999996"/>
    <n v="335.44"/>
    <n v="219.48"/>
    <s v="Completed"/>
    <s v="OK"/>
    <s v="OK"/>
  </r>
  <r>
    <s v="ORD0328"/>
    <d v="2025-04-27T00:00:00"/>
    <s v="CUST0098"/>
    <s v="Backpack"/>
    <s v="Accessories"/>
    <x v="1"/>
    <n v="4"/>
    <n v="154.63999999999999"/>
    <n v="0.1"/>
    <n v="556.70000000000005"/>
    <n v="457.65"/>
    <n v="99.05"/>
    <s v="Completed"/>
    <s v="OK"/>
    <s v="OK"/>
  </r>
  <r>
    <s v="ORD0128"/>
    <d v="2025-06-13T00:00:00"/>
    <s v="CUST0113"/>
    <s v="Backpack"/>
    <s v="Accessories"/>
    <x v="1"/>
    <n v="4"/>
    <n v="140.61000000000001"/>
    <n v="0"/>
    <n v="562.44000000000005"/>
    <n v="450.58"/>
    <n v="111.86"/>
    <s v="Completed"/>
    <s v="OK"/>
    <s v="OK"/>
  </r>
  <r>
    <s v="ORD0188"/>
    <d v="2025-11-30T00:00:00"/>
    <s v="CUST0130"/>
    <s v="Sticky Notes"/>
    <s v="Stationery"/>
    <x v="3"/>
    <n v="4"/>
    <n v="156.65"/>
    <n v="0.1"/>
    <n v="563.94000000000005"/>
    <n v="401.51"/>
    <n v="162.43"/>
    <s v="Returned"/>
    <s v="OK"/>
    <s v="OK"/>
  </r>
  <r>
    <s v="ORD0471"/>
    <d v="2025-02-05T00:00:00"/>
    <s v="CUST0101"/>
    <s v="Water Bottle"/>
    <s v="Home"/>
    <x v="0"/>
    <n v="4"/>
    <n v="150.18"/>
    <n v="0.05"/>
    <n v="570.67999999999995"/>
    <n v="374.43"/>
    <n v="196.25"/>
    <s v="Cancelled"/>
    <s v="OK"/>
    <s v="OK"/>
  </r>
  <r>
    <s v="ORD0326"/>
    <d v="2025-04-21T00:00:00"/>
    <s v="CUST0098"/>
    <s v="Notebook"/>
    <s v="Stationery"/>
    <x v="1"/>
    <n v="4"/>
    <n v="150.88"/>
    <n v="0.05"/>
    <n v="573.34"/>
    <n v="343.76"/>
    <n v="229.58"/>
    <s v="Cancelled"/>
    <s v="OK"/>
    <s v="OK"/>
  </r>
  <r>
    <s v="ORD0350"/>
    <d v="2025-01-11T00:00:00"/>
    <s v="CUST0017"/>
    <s v="Office Chair"/>
    <s v="Home"/>
    <x v="2"/>
    <n v="5"/>
    <n v="130.63999999999999"/>
    <n v="0.1"/>
    <n v="587.88"/>
    <n v="493.71"/>
    <n v="94.17"/>
    <s v="Returned"/>
    <s v="OK"/>
    <s v="OK"/>
  </r>
  <r>
    <s v="ORD0308"/>
    <d v="2025-03-31T00:00:00"/>
    <s v="CUST0103"/>
    <s v="Cable Organizer"/>
    <s v="Accessories"/>
    <x v="2"/>
    <n v="5"/>
    <n v="130.81"/>
    <n v="0.1"/>
    <n v="588.64"/>
    <n v="378.38"/>
    <n v="210.26"/>
    <s v="Cancelled"/>
    <s v="OK"/>
    <s v="OK"/>
  </r>
  <r>
    <s v="ORD0246"/>
    <d v="2025-05-02T00:00:00"/>
    <s v="CUST0032"/>
    <s v="Water Bottle"/>
    <s v="Home"/>
    <x v="0"/>
    <n v="5"/>
    <n v="124.27"/>
    <n v="0.05"/>
    <n v="590.28"/>
    <n v="326.91000000000003"/>
    <n v="263.37"/>
    <s v="Cancelled"/>
    <s v="OK"/>
    <s v="OK"/>
  </r>
  <r>
    <s v="ORD0257"/>
    <d v="2025-09-11T00:00:00"/>
    <s v="CUST0024"/>
    <s v="Cable Organizer"/>
    <s v="Accessories"/>
    <x v="0"/>
    <n v="5"/>
    <n v="118.48"/>
    <n v="0"/>
    <n v="592.4"/>
    <n v="428.89"/>
    <n v="163.51"/>
    <s v="Returned"/>
    <s v="OK"/>
    <s v="OK"/>
  </r>
  <r>
    <s v="ORD0330"/>
    <d v="2025-08-24T00:00:00"/>
    <s v="CUST0052"/>
    <s v="Storage Box"/>
    <s v="Home"/>
    <x v="2"/>
    <n v="4"/>
    <n v="174.77"/>
    <n v="0.15"/>
    <n v="594.22"/>
    <n v="418.25"/>
    <n v="175.97"/>
    <s v="Returned"/>
    <s v="OK"/>
    <s v="OK"/>
  </r>
  <r>
    <s v="ORD0341"/>
    <d v="2025-04-28T00:00:00"/>
    <s v="CUST0053"/>
    <s v="Laptop Sleeve"/>
    <s v="Accessories"/>
    <x v="1"/>
    <n v="4"/>
    <n v="156.5"/>
    <n v="0.05"/>
    <n v="594.70000000000005"/>
    <n v="379.27"/>
    <n v="215.43"/>
    <s v="Completed"/>
    <s v="OK"/>
    <s v="OK"/>
  </r>
  <r>
    <s v="ORD0385"/>
    <d v="2025-11-19T00:00:00"/>
    <s v="CUST0034"/>
    <s v="Cable Organizer"/>
    <s v="Accessories"/>
    <x v="3"/>
    <n v="5"/>
    <n v="133"/>
    <n v="0.1"/>
    <n v="598.5"/>
    <n v="392.48"/>
    <n v="206.02"/>
    <s v="Returned"/>
    <s v="OK"/>
    <s v="OK"/>
  </r>
  <r>
    <s v="ORD0012"/>
    <d v="2025-08-15T00:00:00"/>
    <s v="CUST0101"/>
    <s v="Phone Stand"/>
    <s v="Accessories"/>
    <x v="1"/>
    <n v="5"/>
    <n v="133.49"/>
    <n v="0.1"/>
    <n v="600.71"/>
    <n v="490.28"/>
    <n v="110.43"/>
    <s v="Completed"/>
    <s v="OK"/>
    <s v="OK"/>
  </r>
  <r>
    <s v="ORD0121"/>
    <d v="2025-08-14T00:00:00"/>
    <s v="CUST0053"/>
    <s v="Laptop Sleeve"/>
    <s v="Accessories"/>
    <x v="2"/>
    <n v="4"/>
    <n v="150.87"/>
    <n v="0"/>
    <n v="603.48"/>
    <n v="472.01"/>
    <n v="131.47"/>
    <s v="Completed"/>
    <s v="OK"/>
    <s v="OK"/>
  </r>
  <r>
    <s v="ORD0423"/>
    <d v="2025-04-19T00:00:00"/>
    <s v="CUST0047"/>
    <s v="Notebook"/>
    <s v="Stationery"/>
    <x v="2"/>
    <n v="5"/>
    <n v="143.28"/>
    <n v="0.15"/>
    <n v="608.94000000000005"/>
    <n v="471.34"/>
    <n v="137.6"/>
    <s v="Completed"/>
    <s v="OK"/>
    <s v="OK"/>
  </r>
  <r>
    <s v="ORD0096"/>
    <d v="2025-10-13T00:00:00"/>
    <s v="CUST0035"/>
    <s v="Sticky Notes"/>
    <s v="Stationery"/>
    <x v="3"/>
    <n v="4"/>
    <n v="152.79"/>
    <n v="0"/>
    <n v="611.16"/>
    <n v="481.95"/>
    <n v="129.21"/>
    <s v="Returned"/>
    <s v="OK"/>
    <s v="OK"/>
  </r>
  <r>
    <s v="ORD0307"/>
    <d v="2025-01-01T00:00:00"/>
    <s v="CUST0168"/>
    <s v="Backpack"/>
    <s v="Accessories"/>
    <x v="2"/>
    <n v="5"/>
    <n v="124.17"/>
    <n v="0"/>
    <n v="620.85"/>
    <n v="425.39"/>
    <n v="195.46"/>
    <s v="Cancelled"/>
    <s v="OK"/>
    <s v="OK"/>
  </r>
  <r>
    <s v="ORD0464"/>
    <s v="2026-02-15"/>
    <s v="CUST0108"/>
    <s v="Wireless Mouse"/>
    <s v="Electronics"/>
    <x v="2"/>
    <n v="2"/>
    <n v="106.49"/>
    <n v="0"/>
    <n v="212.98"/>
    <n v="176.01"/>
    <n v="36.97"/>
    <s v="Completed"/>
    <s v="OK"/>
    <s v="OK"/>
  </r>
  <r>
    <s v="ORD0454"/>
    <d v="2025-09-26T00:00:00"/>
    <s v="CUST0113"/>
    <s v="Laptop Sleeve"/>
    <s v="Accessories"/>
    <x v="1"/>
    <n v="5"/>
    <n v="155.58000000000001"/>
    <n v="0.2"/>
    <n v="622.32000000000005"/>
    <n v="387.36"/>
    <n v="234.96"/>
    <s v="Cancelled"/>
    <s v="OK"/>
    <s v="OK"/>
  </r>
  <r>
    <s v="ORD0134"/>
    <d v="2025-03-30T00:00:00"/>
    <s v="CUST0012"/>
    <s v="Cable Organizer"/>
    <s v="Accessories"/>
    <x v="1"/>
    <n v="5"/>
    <n v="138.55000000000001"/>
    <n v="0.1"/>
    <n v="623.48"/>
    <n v="462.1"/>
    <n v="161.38"/>
    <s v="Completed"/>
    <s v="OK"/>
    <s v="OK"/>
  </r>
  <r>
    <s v="ORD0276"/>
    <d v="2025-10-11T00:00:00"/>
    <s v="CUST0026"/>
    <s v="Notebook"/>
    <s v="Stationery"/>
    <x v="3"/>
    <n v="4"/>
    <n v="157.74"/>
    <n v="0"/>
    <n v="630.96"/>
    <n v="432.44"/>
    <n v="198.52"/>
    <s v="Completed"/>
    <s v="OK"/>
    <s v="OK"/>
  </r>
  <r>
    <s v="ORD0075"/>
    <s v="2025/13/05"/>
    <s v="CUST0166"/>
    <s v="Laptop Sleeve"/>
    <s v="Accessories"/>
    <x v="3"/>
    <n v="4"/>
    <n v="176.64"/>
    <n v="0.1"/>
    <n v="635.9"/>
    <n v="471.2"/>
    <n v="164.7"/>
    <s v="Completed"/>
    <s v="OK"/>
    <s v="OK"/>
  </r>
  <r>
    <s v="ORD0141"/>
    <d v="2025-03-06T00:00:00"/>
    <s v="CUST0177"/>
    <s v="Notebook"/>
    <s v="Stationery"/>
    <x v="1"/>
    <n v="4"/>
    <n v="177.26"/>
    <n v="0.1"/>
    <n v="638.14"/>
    <n v="430.96"/>
    <n v="207.18"/>
    <s v="Returned"/>
    <s v="OK"/>
    <s v="OK"/>
  </r>
  <r>
    <s v="ORD0038"/>
    <d v="2025-06-02T00:00:00"/>
    <s v="CUST0063"/>
    <s v="Notebook"/>
    <s v="Stationery"/>
    <x v="0"/>
    <n v="4"/>
    <n v="160.5"/>
    <n v="0"/>
    <n v="642"/>
    <n v="464.59"/>
    <n v="177.41"/>
    <s v="Completed"/>
    <s v="OK"/>
    <s v="OK"/>
  </r>
  <r>
    <s v="ORD0371"/>
    <d v="2025-11-28T00:00:00"/>
    <s v="CUST0139"/>
    <s v="Planner"/>
    <s v="Stationery"/>
    <x v="3"/>
    <n v="4"/>
    <n v="179.11"/>
    <n v="0.1"/>
    <n v="644.79999999999995"/>
    <n v="544.42999999999995"/>
    <n v="100.37"/>
    <s v="Completed"/>
    <s v="OK"/>
    <s v="OK"/>
  </r>
  <r>
    <s v="ORD0344"/>
    <d v="2025-02-28T00:00:00"/>
    <s v="CUST0008"/>
    <s v="Water Bottle"/>
    <s v="Home"/>
    <x v="0"/>
    <n v="5"/>
    <n v="146.28"/>
    <n v="0.1"/>
    <n v="658.26"/>
    <n v="464.77"/>
    <n v="193.49"/>
    <s v="Cancelled"/>
    <s v="OK"/>
    <s v="OK"/>
  </r>
  <r>
    <s v="ORD0062"/>
    <d v="2025-04-27T00:00:00"/>
    <s v="CUST0134"/>
    <s v="Backpack"/>
    <s v="Accessories"/>
    <x v="0"/>
    <n v="4"/>
    <n v="173.49"/>
    <n v="0.05"/>
    <n v="659.26"/>
    <n v="419.1"/>
    <n v="240.16"/>
    <s v="Completed"/>
    <s v="OK"/>
    <s v="OK"/>
  </r>
  <r>
    <s v="ORD0166"/>
    <d v="2025-08-10T00:00:00"/>
    <s v="CUST0017"/>
    <s v="Sticky Notes"/>
    <s v="Stationery"/>
    <x v="0"/>
    <n v="5"/>
    <n v="164.84"/>
    <n v="0.2"/>
    <n v="659.36"/>
    <n v="399.33"/>
    <n v="260.02999999999997"/>
    <s v="Completed"/>
    <s v="OK"/>
    <s v="OK"/>
  </r>
  <r>
    <s v="ORD0136"/>
    <d v="2025-08-03T00:00:00"/>
    <s v="CUST0082"/>
    <s v="Phone Stand"/>
    <s v="Accessories"/>
    <x v="1"/>
    <n v="5"/>
    <n v="133.74"/>
    <n v="0"/>
    <n v="668.7"/>
    <n v="390.91"/>
    <n v="277.79000000000002"/>
    <s v="Completed"/>
    <s v="OK"/>
    <s v="OK"/>
  </r>
  <r>
    <s v="ORD0324"/>
    <d v="2025-12-08T00:00:00"/>
    <s v="CUST0053"/>
    <s v="Sticky Notes"/>
    <s v="Stationery"/>
    <x v="1"/>
    <n v="4"/>
    <n v="176.58"/>
    <n v="0.05"/>
    <n v="671"/>
    <n v="476.19"/>
    <n v="194.81"/>
    <s v="Cancelled"/>
    <s v="OK"/>
    <s v="OK"/>
  </r>
  <r>
    <s v="ORD0056"/>
    <d v="2025-05-13T00:00:00"/>
    <s v="CUST0163"/>
    <s v="Headphones"/>
    <s v="Electronics"/>
    <x v="1"/>
    <n v="5"/>
    <n v="168.12"/>
    <n v="0.2"/>
    <n v="672.48"/>
    <n v="570.79"/>
    <n v="101.69"/>
    <s v="Completed"/>
    <s v="OK"/>
    <s v="OK"/>
  </r>
  <r>
    <s v="ORD0323"/>
    <d v="2025-05-06T00:00:00"/>
    <s v="CUST0145"/>
    <s v="Phone Stand"/>
    <s v="Accessories"/>
    <x v="3"/>
    <n v="4"/>
    <n v="179.12"/>
    <n v="0.05"/>
    <n v="680.66"/>
    <n v="392.37"/>
    <n v="288.29000000000002"/>
    <s v="Completed"/>
    <s v="OK"/>
    <s v="OK"/>
  </r>
  <r>
    <s v="ORD0259"/>
    <d v="2025-12-16T00:00:00"/>
    <s v="CUST0113"/>
    <s v="Storage Box"/>
    <s v="Home"/>
    <x v="1"/>
    <n v="5"/>
    <n v="143.63999999999999"/>
    <n v="0.05"/>
    <n v="682.29"/>
    <n v="465.36"/>
    <n v="216.93"/>
    <s v="Returned"/>
    <s v="OK"/>
    <s v="OK"/>
  </r>
  <r>
    <s v="ORD0451"/>
    <d v="2025-06-25T00:00:00"/>
    <s v="CUST0134"/>
    <s v="Desk Lamp"/>
    <s v="Home"/>
    <x v="3"/>
    <n v="5"/>
    <n v="160.82"/>
    <n v="0.15"/>
    <n v="683.48"/>
    <n v="505.1"/>
    <n v="178.38"/>
    <s v="Completed"/>
    <s v="OK"/>
    <s v="OK"/>
  </r>
  <r>
    <s v="ORD0153"/>
    <d v="2025-07-07T00:00:00"/>
    <s v="CUST0007"/>
    <s v="Notebook"/>
    <s v="Stationery"/>
    <x v="3"/>
    <n v="5"/>
    <n v="151.97"/>
    <n v="0.1"/>
    <n v="683.86"/>
    <n v="515.66"/>
    <n v="168.2"/>
    <s v="Completed"/>
    <s v="OK"/>
    <s v="OK"/>
  </r>
  <r>
    <s v="ORD0179"/>
    <d v="2025-06-01T00:00:00"/>
    <s v="CUST0050"/>
    <s v="Phone Stand"/>
    <s v="Accessories"/>
    <x v="3"/>
    <n v="5"/>
    <n v="153.55000000000001"/>
    <n v="0.1"/>
    <n v="690.98"/>
    <n v="532.47"/>
    <n v="158.51"/>
    <s v="Returned"/>
    <s v="OK"/>
    <s v="OK"/>
  </r>
  <r>
    <s v="ORD0095"/>
    <d v="2025-03-17T00:00:00"/>
    <s v="CUST0035"/>
    <s v="Keyboard"/>
    <s v="Electronics"/>
    <x v="3"/>
    <n v="4"/>
    <n v="173.98"/>
    <n v="0"/>
    <n v="695.92"/>
    <n v="535.34"/>
    <n v="160.58000000000001"/>
    <s v="Completed"/>
    <s v="OK"/>
    <s v="OK"/>
  </r>
  <r>
    <s v="ORD0486"/>
    <d v="2025-04-26T00:00:00"/>
    <s v="CUST0143"/>
    <s v="Headphones"/>
    <s v="Electronics"/>
    <x v="3"/>
    <n v="5"/>
    <n v="139.22"/>
    <n v="0"/>
    <n v="696.1"/>
    <n v="517.88"/>
    <n v="178.22"/>
    <s v="Completed"/>
    <s v="OK"/>
    <s v="OK"/>
  </r>
  <r>
    <s v="ORD0388"/>
    <d v="2025-12-09T00:00:00"/>
    <s v="CUST0058"/>
    <s v="Phone Stand"/>
    <s v="Accessories"/>
    <x v="0"/>
    <n v="4"/>
    <n v="174.3"/>
    <n v="0"/>
    <n v="697.2"/>
    <n v="522.14"/>
    <n v="175.06"/>
    <s v="Completed"/>
    <s v="OK"/>
    <s v="OK"/>
  </r>
  <r>
    <s v="ORD0357"/>
    <s v="not_available"/>
    <s v="CUST0153"/>
    <s v="Desk Lamp"/>
    <s v="Home"/>
    <x v="1"/>
    <n v="5"/>
    <n v="164.7"/>
    <n v="0.15"/>
    <n v="699.98"/>
    <n v="533.96"/>
    <n v="166.02"/>
    <s v="Completed"/>
    <s v="OK"/>
    <s v="OK"/>
  </r>
  <r>
    <s v="ORD0459"/>
    <d v="2025-06-19T00:00:00"/>
    <s v="CUST0166"/>
    <s v="Laptop Sleeve"/>
    <s v="Accessories"/>
    <x v="3"/>
    <n v="5"/>
    <n v="179.25"/>
    <n v="0.2"/>
    <n v="717"/>
    <n v="534.05999999999995"/>
    <n v="182.94"/>
    <s v="Completed"/>
    <s v="OK"/>
    <s v="OK"/>
  </r>
  <r>
    <s v="ORD0227"/>
    <d v="2025-02-12T00:00:00"/>
    <s v="CUST0130"/>
    <s v="Sticky Notes"/>
    <s v="Stationery"/>
    <x v="2"/>
    <n v="5"/>
    <n v="169.07"/>
    <n v="0.15"/>
    <n v="718.55"/>
    <n v="455.08"/>
    <n v="263.47000000000003"/>
    <s v="Cancelled"/>
    <s v="OK"/>
    <s v="OK"/>
  </r>
  <r>
    <s v="ORD0191"/>
    <d v="2025-10-21T00:00:00"/>
    <s v="CUST0084"/>
    <s v="Keyboard"/>
    <s v="Electronics"/>
    <x v="1"/>
    <n v="5"/>
    <n v="157.28"/>
    <n v="0.05"/>
    <n v="747.08"/>
    <n v="526.45000000000005"/>
    <n v="220.63"/>
    <s v="Completed"/>
    <s v="OK"/>
    <s v="OK"/>
  </r>
  <r>
    <s v="ORD0145"/>
    <d v="2025-08-06T00:00:00"/>
    <s v="CUST0169"/>
    <s v="Headphones"/>
    <s v="Electronics"/>
    <x v="3"/>
    <n v="5"/>
    <n v="150.87"/>
    <n v="0"/>
    <n v="754.35"/>
    <n v="425.52"/>
    <n v="328.83"/>
    <s v="Completed"/>
    <s v="OK"/>
    <s v="OK"/>
  </r>
  <r>
    <s v="ORD0327"/>
    <d v="2025-06-01T00:00:00"/>
    <s v="CUST0019"/>
    <s v="Planner"/>
    <s v="Stationery"/>
    <x v="3"/>
    <n v="5"/>
    <n v="178.94"/>
    <n v="0.15"/>
    <n v="760.5"/>
    <n v="560.51"/>
    <n v="199.99"/>
    <s v="Completed"/>
    <s v="OK"/>
    <s v="OK"/>
  </r>
  <r>
    <s v="ORD0297"/>
    <d v="2025-03-05T00:00:00"/>
    <s v="CUST0050"/>
    <s v="USB Hub"/>
    <s v="Electronics"/>
    <x v="3"/>
    <n v="5"/>
    <n v="152.16"/>
    <n v="0"/>
    <n v="760.8"/>
    <n v="516.4"/>
    <n v="244.4"/>
    <s v="Completed"/>
    <s v="OK"/>
    <s v="OK"/>
  </r>
  <r>
    <s v="ORD0050"/>
    <d v="2025-07-15T00:00:00"/>
    <s v="CUST0058"/>
    <s v="Keyboard"/>
    <s v="Electronics"/>
    <x v="3"/>
    <n v="5"/>
    <n v="153.32"/>
    <n v="0"/>
    <n v="766.6"/>
    <n v="608.94000000000005"/>
    <n v="157.66"/>
    <s v="Completed"/>
    <s v="OK"/>
    <s v="OK"/>
  </r>
  <r>
    <s v="ORD0410"/>
    <d v="2025-09-05T00:00:00"/>
    <s v="CUST0022"/>
    <s v="Keyboard"/>
    <s v="Electronics"/>
    <x v="2"/>
    <n v="5"/>
    <n v="170.49"/>
    <n v="0.1"/>
    <n v="767.2"/>
    <n v="625.19000000000005"/>
    <n v="142.01"/>
    <s v="Completed"/>
    <s v="OK"/>
    <s v="OK"/>
  </r>
  <r>
    <s v="ORD0466"/>
    <d v="2025-06-28T00:00:00"/>
    <s v="CUST0037"/>
    <s v="Office Chair"/>
    <s v="Home"/>
    <x v="0"/>
    <n v="5"/>
    <n v="175.9"/>
    <n v="0.1"/>
    <n v="791.55"/>
    <n v="524.51"/>
    <n v="267.04000000000002"/>
    <s v="Completed"/>
    <s v="OK"/>
    <s v="OK"/>
  </r>
  <r>
    <s v="ORD0071"/>
    <d v="2025-07-21T00:00:00"/>
    <s v="CUST0083"/>
    <s v="Wireless Mouse"/>
    <s v="Electronics"/>
    <x v="3"/>
    <n v="5"/>
    <n v="179.42"/>
    <n v="0.1"/>
    <n v="807.39"/>
    <n v="630.33000000000004"/>
    <n v="177.06"/>
    <s v="Cancelled"/>
    <s v="OK"/>
    <s v="OK"/>
  </r>
  <r>
    <s v="ORD0347"/>
    <d v="2025-03-06T00:00:00"/>
    <s v="CUST0107"/>
    <s v="Notebook"/>
    <s v="Stationery"/>
    <x v="1"/>
    <n v="5"/>
    <n v="169.76"/>
    <n v="0"/>
    <n v="848.8"/>
    <n v="703.88"/>
    <n v="144.91999999999999"/>
    <s v="Completed"/>
    <s v="OK"/>
    <s v="OK"/>
  </r>
  <r>
    <s v="ORD0236"/>
    <d v="2025-05-09T00:00:00"/>
    <s v="CUST0130"/>
    <s v="Storage Box"/>
    <s v="Home"/>
    <x v="2"/>
    <n v="5"/>
    <n v="172.47"/>
    <n v="0"/>
    <n v="862.35"/>
    <n v="500.72"/>
    <n v="361.63"/>
    <s v="Completed"/>
    <s v="OK"/>
    <s v="OK"/>
  </r>
  <r>
    <s v="ORD0193"/>
    <d v="2025-04-24T00:00:00"/>
    <s v="CUST0145"/>
    <s v="Notebook"/>
    <s v="Stationery"/>
    <x v="0"/>
    <n v="5"/>
    <n v="173.7"/>
    <n v="0"/>
    <n v="868.5"/>
    <n v="650.05999999999995"/>
    <n v="218.44"/>
    <s v="Completed"/>
    <s v="OK"/>
    <s v="OK"/>
  </r>
  <r>
    <s v="ORD0334"/>
    <d v="2025-01-22T00:00:00"/>
    <s v="CUST0093"/>
    <s v="Backpack"/>
    <s v="Accessories"/>
    <x v="0"/>
    <n v="5"/>
    <n v="175.1"/>
    <n v="0"/>
    <n v="875.5"/>
    <n v="674.32"/>
    <n v="201.18"/>
    <s v="Completed"/>
    <s v="OK"/>
    <s v="OK"/>
  </r>
  <r>
    <s v="ORD0270"/>
    <d v="2025-11-01T00:00:00"/>
    <s v="CUST0147"/>
    <s v="Desk Lamp"/>
    <s v="Home"/>
    <x v="1"/>
    <n v="5"/>
    <n v="176.78"/>
    <n v="0"/>
    <n v="883.9"/>
    <n v="659.61"/>
    <n v="224.29"/>
    <s v="Completed"/>
    <s v="OK"/>
    <s v="OK"/>
  </r>
  <r>
    <s v="ORD0151"/>
    <d v="2025-04-25T00:00:00"/>
    <s v="CUST0067"/>
    <s v="USB Hub"/>
    <s v="Electronics"/>
    <x v="2"/>
    <n v="5"/>
    <n v="178.53"/>
    <n v="0"/>
    <n v="892.65"/>
    <n v="727.4"/>
    <n v="165.25"/>
    <s v="Cancelled"/>
    <s v="OK"/>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B16" firstHeaderRow="1" firstDataRow="1" firstDataCol="1"/>
  <pivotFields count="17">
    <pivotField showAll="0"/>
    <pivotField showAll="0"/>
    <pivotField showAll="0"/>
    <pivotField showAll="0"/>
    <pivotField showAll="0"/>
    <pivotField showAll="0"/>
    <pivotField showAll="0"/>
    <pivotField showAll="0"/>
    <pivotField showAll="0"/>
    <pivotField dataField="1" showAll="0">
      <items count="4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t="default"/>
      </items>
    </pivotField>
    <pivotField showAll="0"/>
    <pivotField showAll="0"/>
    <pivotField showAll="0"/>
    <pivotField showAll="0"/>
    <pivotField showAll="0"/>
    <pivotField showAll="0" defaultSubtotal="0">
      <items count="282">
        <item x="273"/>
        <item x="2"/>
        <item x="101"/>
        <item x="111"/>
        <item x="210"/>
        <item x="47"/>
        <item x="79"/>
        <item x="145"/>
        <item x="268"/>
        <item x="67"/>
        <item x="158"/>
        <item x="19"/>
        <item x="213"/>
        <item x="187"/>
        <item x="168"/>
        <item x="239"/>
        <item x="72"/>
        <item x="57"/>
        <item x="76"/>
        <item x="189"/>
        <item x="73"/>
        <item x="254"/>
        <item x="207"/>
        <item x="121"/>
        <item x="40"/>
        <item x="25"/>
        <item x="265"/>
        <item x="201"/>
        <item x="161"/>
        <item x="87"/>
        <item x="75"/>
        <item x="157"/>
        <item x="222"/>
        <item x="166"/>
        <item x="278"/>
        <item x="52"/>
        <item x="54"/>
        <item x="180"/>
        <item x="53"/>
        <item x="113"/>
        <item x="246"/>
        <item x="226"/>
        <item x="69"/>
        <item x="94"/>
        <item x="244"/>
        <item x="217"/>
        <item x="61"/>
        <item x="107"/>
        <item x="131"/>
        <item x="21"/>
        <item x="279"/>
        <item x="103"/>
        <item x="173"/>
        <item x="17"/>
        <item x="23"/>
        <item x="120"/>
        <item x="16"/>
        <item x="110"/>
        <item x="186"/>
        <item x="237"/>
        <item x="148"/>
        <item x="220"/>
        <item x="264"/>
        <item x="240"/>
        <item x="149"/>
        <item x="115"/>
        <item x="172"/>
        <item x="66"/>
        <item x="26"/>
        <item x="58"/>
        <item x="272"/>
        <item x="269"/>
        <item x="179"/>
        <item x="238"/>
        <item x="221"/>
        <item x="35"/>
        <item x="155"/>
        <item x="171"/>
        <item x="266"/>
        <item x="90"/>
        <item x="7"/>
        <item x="11"/>
        <item x="137"/>
        <item x="195"/>
        <item x="128"/>
        <item x="175"/>
        <item x="122"/>
        <item x="89"/>
        <item x="160"/>
        <item x="100"/>
        <item x="9"/>
        <item x="48"/>
        <item x="95"/>
        <item x="55"/>
        <item x="45"/>
        <item x="144"/>
        <item x="70"/>
        <item x="112"/>
        <item x="46"/>
        <item x="270"/>
        <item x="193"/>
        <item x="4"/>
        <item x="43"/>
        <item x="255"/>
        <item x="37"/>
        <item x="93"/>
        <item x="170"/>
        <item x="233"/>
        <item x="250"/>
        <item x="102"/>
        <item x="5"/>
        <item x="109"/>
        <item x="154"/>
        <item x="108"/>
        <item x="42"/>
        <item x="182"/>
        <item x="34"/>
        <item x="28"/>
        <item x="204"/>
        <item x="22"/>
        <item x="106"/>
        <item x="202"/>
        <item x="142"/>
        <item x="181"/>
        <item x="140"/>
        <item x="151"/>
        <item x="130"/>
        <item x="60"/>
        <item x="152"/>
        <item x="98"/>
        <item x="249"/>
        <item x="138"/>
        <item x="105"/>
        <item x="251"/>
        <item x="132"/>
        <item x="99"/>
        <item x="188"/>
        <item x="242"/>
        <item x="68"/>
        <item x="88"/>
        <item x="260"/>
        <item x="215"/>
        <item x="38"/>
        <item x="125"/>
        <item x="114"/>
        <item x="219"/>
        <item x="281"/>
        <item x="227"/>
        <item x="92"/>
        <item x="212"/>
        <item x="234"/>
        <item x="50"/>
        <item x="59"/>
        <item x="277"/>
        <item x="30"/>
        <item x="77"/>
        <item x="280"/>
        <item x="153"/>
        <item x="146"/>
        <item x="197"/>
        <item x="263"/>
        <item x="165"/>
        <item x="20"/>
        <item x="136"/>
        <item x="8"/>
        <item x="147"/>
        <item x="211"/>
        <item x="36"/>
        <item x="167"/>
        <item x="134"/>
        <item x="39"/>
        <item x="1"/>
        <item x="49"/>
        <item x="123"/>
        <item x="275"/>
        <item x="10"/>
        <item x="18"/>
        <item x="178"/>
        <item x="13"/>
        <item x="159"/>
        <item x="200"/>
        <item x="62"/>
        <item x="64"/>
        <item x="230"/>
        <item x="141"/>
        <item x="96"/>
        <item x="133"/>
        <item x="235"/>
        <item x="129"/>
        <item x="78"/>
        <item x="262"/>
        <item x="65"/>
        <item x="205"/>
        <item x="192"/>
        <item x="183"/>
        <item x="163"/>
        <item x="232"/>
        <item x="74"/>
        <item x="29"/>
        <item x="271"/>
        <item x="32"/>
        <item x="150"/>
        <item x="253"/>
        <item x="117"/>
        <item x="209"/>
        <item x="91"/>
        <item x="118"/>
        <item x="206"/>
        <item x="84"/>
        <item x="257"/>
        <item x="156"/>
        <item x="104"/>
        <item x="24"/>
        <item x="190"/>
        <item x="256"/>
        <item x="247"/>
        <item x="127"/>
        <item x="218"/>
        <item x="162"/>
        <item x="56"/>
        <item x="3"/>
        <item x="85"/>
        <item x="241"/>
        <item x="12"/>
        <item x="191"/>
        <item x="126"/>
        <item x="169"/>
        <item x="14"/>
        <item x="124"/>
        <item x="261"/>
        <item x="80"/>
        <item x="33"/>
        <item x="216"/>
        <item x="176"/>
        <item x="97"/>
        <item x="252"/>
        <item x="135"/>
        <item x="116"/>
        <item x="83"/>
        <item x="44"/>
        <item x="82"/>
        <item x="174"/>
        <item x="259"/>
        <item x="27"/>
        <item x="184"/>
        <item x="63"/>
        <item x="214"/>
        <item x="15"/>
        <item x="228"/>
        <item x="31"/>
        <item x="164"/>
        <item x="41"/>
        <item x="194"/>
        <item x="177"/>
        <item x="203"/>
        <item x="236"/>
        <item x="225"/>
        <item x="258"/>
        <item x="274"/>
        <item x="267"/>
        <item x="81"/>
        <item x="185"/>
        <item x="139"/>
        <item x="276"/>
        <item x="196"/>
        <item x="243"/>
        <item x="71"/>
        <item x="6"/>
        <item x="245"/>
        <item x="0"/>
        <item x="248"/>
        <item x="231"/>
        <item x="198"/>
        <item x="119"/>
        <item x="224"/>
        <item x="208"/>
        <item x="199"/>
        <item x="86"/>
        <item x="229"/>
        <item x="223"/>
        <item x="143"/>
        <item x="51"/>
      </items>
    </pivotField>
    <pivotField axis="axisRow" showAll="0" defaultSubtotal="0">
      <items count="13">
        <item x="2"/>
        <item x="9"/>
        <item x="8"/>
        <item x="5"/>
        <item x="4"/>
        <item x="11"/>
        <item x="6"/>
        <item x="1"/>
        <item x="10"/>
        <item x="3"/>
        <item x="7"/>
        <item x="0"/>
        <item h="1" x="12"/>
      </items>
    </pivotField>
  </pivotFields>
  <rowFields count="1">
    <field x="16"/>
  </rowFields>
  <rowItems count="13">
    <i>
      <x/>
    </i>
    <i>
      <x v="1"/>
    </i>
    <i>
      <x v="2"/>
    </i>
    <i>
      <x v="3"/>
    </i>
    <i>
      <x v="4"/>
    </i>
    <i>
      <x v="5"/>
    </i>
    <i>
      <x v="6"/>
    </i>
    <i>
      <x v="7"/>
    </i>
    <i>
      <x v="8"/>
    </i>
    <i>
      <x v="9"/>
    </i>
    <i>
      <x v="10"/>
    </i>
    <i>
      <x v="11"/>
    </i>
    <i t="grand">
      <x/>
    </i>
  </rowItems>
  <colItems count="1">
    <i/>
  </colItems>
  <dataFields count="1">
    <dataField name="Sum of Revenue" fld="9" baseField="0" baseItem="0"/>
  </dataFields>
  <chartFormats count="1">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9" firstHeaderRow="1" firstDataRow="1" firstDataCol="1"/>
  <pivotFields count="17">
    <pivotField showAll="0"/>
    <pivotField showAll="0"/>
    <pivotField showAll="0"/>
    <pivotField showAll="0"/>
    <pivotField axis="axisRow"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6">
    <i>
      <x/>
    </i>
    <i>
      <x v="4"/>
    </i>
    <i>
      <x v="1"/>
    </i>
    <i>
      <x v="2"/>
    </i>
    <i>
      <x v="3"/>
    </i>
    <i t="grand">
      <x/>
    </i>
  </rowItems>
  <colItems count="1">
    <i/>
  </colItems>
  <dataFields count="1">
    <dataField name="Sum of Revenue" fld="9" baseField="0" baseItem="0"/>
  </dataFields>
  <chartFormats count="2">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pivotFields count="15">
    <pivotField showAll="0"/>
    <pivotField showAll="0"/>
    <pivotField showAll="0"/>
    <pivotField showAll="0"/>
    <pivotField showAll="0"/>
    <pivotField axis="axisRow" showAll="0" sortType="descending">
      <items count="6">
        <item x="1"/>
        <item x="3"/>
        <item x="0"/>
        <item x="2"/>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s>
  <rowFields count="1">
    <field x="5"/>
  </rowFields>
  <rowItems count="5">
    <i>
      <x v="1"/>
    </i>
    <i>
      <x/>
    </i>
    <i>
      <x v="3"/>
    </i>
    <i>
      <x v="2"/>
    </i>
    <i t="grand">
      <x/>
    </i>
  </rowItems>
  <colItems count="1">
    <i/>
  </colItems>
  <dataFields count="1">
    <dataField name="Sum of Revenue"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D10" firstHeaderRow="0" firstDataRow="1" firstDataCol="1"/>
  <pivotFields count="17">
    <pivotField dataField="1" showAll="0"/>
    <pivotField showAll="0"/>
    <pivotField showAll="0"/>
    <pivotField showAll="0"/>
    <pivotField showAll="0"/>
    <pivotField showAll="0"/>
    <pivotField showAll="0"/>
    <pivotField showAll="0"/>
    <pivotField axis="axisRow" showAll="0">
      <items count="7">
        <item x="0"/>
        <item x="4"/>
        <item x="3"/>
        <item x="1"/>
        <item x="2"/>
        <item x="5"/>
        <item t="default"/>
      </items>
    </pivotField>
    <pivotField dataField="1" showAll="0"/>
    <pivotField showAll="0"/>
    <pivotField dataField="1" showAll="0"/>
    <pivotField showAll="0"/>
    <pivotField showAll="0"/>
    <pivotField showAll="0"/>
    <pivotField showAll="0"/>
    <pivotField showAll="0"/>
  </pivotFields>
  <rowFields count="1">
    <field x="8"/>
  </rowFields>
  <rowItems count="7">
    <i>
      <x/>
    </i>
    <i>
      <x v="1"/>
    </i>
    <i>
      <x v="2"/>
    </i>
    <i>
      <x v="3"/>
    </i>
    <i>
      <x v="4"/>
    </i>
    <i>
      <x v="5"/>
    </i>
    <i t="grand">
      <x/>
    </i>
  </rowItems>
  <colFields count="1">
    <field x="-2"/>
  </colFields>
  <colItems count="3">
    <i>
      <x/>
    </i>
    <i i="1">
      <x v="1"/>
    </i>
    <i i="2">
      <x v="2"/>
    </i>
  </colItems>
  <dataFields count="3">
    <dataField name="Count of Order_ID" fld="0" subtotal="count" baseField="0" baseItem="0"/>
    <dataField name="Sum of Revenue" fld="9" baseField="0" baseItem="0"/>
    <dataField name="Sum of Profit" fld="11"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s>
  <rowFields count="1">
    <field x="12"/>
  </rowFields>
  <rowItems count="4">
    <i>
      <x/>
    </i>
    <i>
      <x v="1"/>
    </i>
    <i>
      <x v="2"/>
    </i>
    <i t="grand">
      <x/>
    </i>
  </rowItems>
  <colItems count="1">
    <i/>
  </colItems>
  <dataFields count="1">
    <dataField name="Count of Order_ID" fld="0" subtotal="count" baseField="0" baseItem="0"/>
  </dataFields>
  <chartFormats count="2">
    <chartFormat chart="0" format="3"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168" firstHeaderRow="0" firstDataRow="1" firstDataCol="1"/>
  <pivotFields count="17">
    <pivotField dataField="1" showAll="0"/>
    <pivotField showAll="0"/>
    <pivotField axis="axisRow" showAll="0" sortType="descending">
      <items count="165">
        <item x="145"/>
        <item x="43"/>
        <item x="130"/>
        <item x="121"/>
        <item x="10"/>
        <item x="85"/>
        <item x="112"/>
        <item x="86"/>
        <item x="139"/>
        <item x="25"/>
        <item x="30"/>
        <item x="92"/>
        <item x="115"/>
        <item x="111"/>
        <item x="68"/>
        <item x="157"/>
        <item x="163"/>
        <item x="47"/>
        <item x="72"/>
        <item x="89"/>
        <item x="65"/>
        <item x="39"/>
        <item x="48"/>
        <item x="56"/>
        <item x="120"/>
        <item x="159"/>
        <item x="63"/>
        <item x="140"/>
        <item x="12"/>
        <item x="50"/>
        <item x="49"/>
        <item x="119"/>
        <item x="19"/>
        <item x="69"/>
        <item x="123"/>
        <item x="101"/>
        <item x="55"/>
        <item x="66"/>
        <item x="67"/>
        <item x="114"/>
        <item x="11"/>
        <item x="29"/>
        <item x="162"/>
        <item x="13"/>
        <item x="137"/>
        <item x="41"/>
        <item x="136"/>
        <item x="144"/>
        <item x="150"/>
        <item x="36"/>
        <item x="61"/>
        <item x="149"/>
        <item x="6"/>
        <item x="51"/>
        <item x="151"/>
        <item x="148"/>
        <item x="62"/>
        <item x="155"/>
        <item x="127"/>
        <item x="95"/>
        <item x="128"/>
        <item x="83"/>
        <item x="26"/>
        <item x="80"/>
        <item x="0"/>
        <item x="104"/>
        <item x="17"/>
        <item x="57"/>
        <item x="14"/>
        <item x="18"/>
        <item x="76"/>
        <item x="94"/>
        <item x="90"/>
        <item x="40"/>
        <item x="158"/>
        <item x="138"/>
        <item x="147"/>
        <item x="33"/>
        <item x="73"/>
        <item x="60"/>
        <item x="113"/>
        <item x="34"/>
        <item x="160"/>
        <item x="125"/>
        <item x="129"/>
        <item x="23"/>
        <item x="1"/>
        <item x="91"/>
        <item x="20"/>
        <item x="81"/>
        <item x="79"/>
        <item x="143"/>
        <item x="70"/>
        <item x="4"/>
        <item x="74"/>
        <item x="152"/>
        <item x="102"/>
        <item x="8"/>
        <item x="107"/>
        <item x="142"/>
        <item x="116"/>
        <item x="88"/>
        <item x="106"/>
        <item x="96"/>
        <item x="53"/>
        <item x="75"/>
        <item x="134"/>
        <item x="117"/>
        <item x="9"/>
        <item x="38"/>
        <item x="122"/>
        <item x="3"/>
        <item x="24"/>
        <item x="22"/>
        <item x="124"/>
        <item x="82"/>
        <item x="131"/>
        <item x="133"/>
        <item x="135"/>
        <item x="42"/>
        <item x="71"/>
        <item x="156"/>
        <item x="21"/>
        <item x="98"/>
        <item x="118"/>
        <item x="35"/>
        <item x="27"/>
        <item x="126"/>
        <item x="58"/>
        <item x="2"/>
        <item x="154"/>
        <item x="103"/>
        <item x="87"/>
        <item x="100"/>
        <item x="64"/>
        <item x="93"/>
        <item x="109"/>
        <item x="45"/>
        <item x="37"/>
        <item x="146"/>
        <item x="110"/>
        <item x="153"/>
        <item x="105"/>
        <item x="52"/>
        <item x="78"/>
        <item x="161"/>
        <item x="5"/>
        <item x="141"/>
        <item x="44"/>
        <item x="99"/>
        <item x="132"/>
        <item x="15"/>
        <item x="59"/>
        <item x="31"/>
        <item x="77"/>
        <item x="7"/>
        <item x="108"/>
        <item x="97"/>
        <item x="32"/>
        <item x="46"/>
        <item x="54"/>
        <item x="84"/>
        <item x="28"/>
        <item x="16"/>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s>
  <rowFields count="1">
    <field x="2"/>
  </rowFields>
  <rowItems count="165">
    <i>
      <x v="113"/>
    </i>
    <i>
      <x v="96"/>
    </i>
    <i>
      <x v="45"/>
    </i>
    <i>
      <x v="127"/>
    </i>
    <i>
      <x v="53"/>
    </i>
    <i>
      <x v="57"/>
    </i>
    <i>
      <x v="83"/>
    </i>
    <i>
      <x v="117"/>
    </i>
    <i>
      <x v="44"/>
    </i>
    <i>
      <x v="92"/>
    </i>
    <i>
      <x v="88"/>
    </i>
    <i>
      <x v="6"/>
    </i>
    <i>
      <x v="29"/>
    </i>
    <i>
      <x v="151"/>
    </i>
    <i>
      <x v="148"/>
    </i>
    <i>
      <x v="14"/>
    </i>
    <i>
      <x v="49"/>
    </i>
    <i>
      <x v="26"/>
    </i>
    <i>
      <x v="85"/>
    </i>
    <i>
      <x v="125"/>
    </i>
    <i>
      <x v="72"/>
    </i>
    <i>
      <x v="73"/>
    </i>
    <i>
      <x v="115"/>
    </i>
    <i>
      <x v="39"/>
    </i>
    <i>
      <x v="50"/>
    </i>
    <i>
      <x v="46"/>
    </i>
    <i>
      <x v="71"/>
    </i>
    <i>
      <x v="42"/>
    </i>
    <i>
      <x v="33"/>
    </i>
    <i>
      <x v="106"/>
    </i>
    <i>
      <x v="24"/>
    </i>
    <i>
      <x v="87"/>
    </i>
    <i>
      <x v="17"/>
    </i>
    <i>
      <x v="31"/>
    </i>
    <i>
      <x v="41"/>
    </i>
    <i>
      <x v="65"/>
    </i>
    <i>
      <x v="103"/>
    </i>
    <i>
      <x v="142"/>
    </i>
    <i>
      <x v="56"/>
    </i>
    <i>
      <x v="28"/>
    </i>
    <i>
      <x v="121"/>
    </i>
    <i>
      <x v="156"/>
    </i>
    <i>
      <x v="150"/>
    </i>
    <i>
      <x v="23"/>
    </i>
    <i>
      <x v="101"/>
    </i>
    <i>
      <x v="70"/>
    </i>
    <i>
      <x v="52"/>
    </i>
    <i>
      <x v="102"/>
    </i>
    <i>
      <x v="135"/>
    </i>
    <i>
      <x v="79"/>
    </i>
    <i>
      <x v="67"/>
    </i>
    <i>
      <x v="114"/>
    </i>
    <i>
      <x v="154"/>
    </i>
    <i>
      <x v="34"/>
    </i>
    <i>
      <x v="159"/>
    </i>
    <i>
      <x v="9"/>
    </i>
    <i>
      <x v="27"/>
    </i>
    <i>
      <x v="40"/>
    </i>
    <i>
      <x/>
    </i>
    <i>
      <x v="22"/>
    </i>
    <i>
      <x v="54"/>
    </i>
    <i>
      <x v="137"/>
    </i>
    <i>
      <x v="139"/>
    </i>
    <i>
      <x v="122"/>
    </i>
    <i>
      <x v="128"/>
    </i>
    <i>
      <x v="19"/>
    </i>
    <i>
      <x v="91"/>
    </i>
    <i>
      <x v="111"/>
    </i>
    <i>
      <x v="129"/>
    </i>
    <i>
      <x v="1"/>
    </i>
    <i>
      <x v="76"/>
    </i>
    <i>
      <x v="11"/>
    </i>
    <i>
      <x v="60"/>
    </i>
    <i>
      <x v="51"/>
    </i>
    <i>
      <x v="8"/>
    </i>
    <i>
      <x v="98"/>
    </i>
    <i>
      <x v="90"/>
    </i>
    <i>
      <x v="38"/>
    </i>
    <i>
      <x v="62"/>
    </i>
    <i>
      <x v="16"/>
    </i>
    <i>
      <x v="30"/>
    </i>
    <i>
      <x v="138"/>
    </i>
    <i>
      <x v="162"/>
    </i>
    <i>
      <x v="5"/>
    </i>
    <i>
      <x v="136"/>
    </i>
    <i>
      <x v="153"/>
    </i>
    <i>
      <x v="20"/>
    </i>
    <i>
      <x v="94"/>
    </i>
    <i>
      <x v="149"/>
    </i>
    <i>
      <x v="63"/>
    </i>
    <i>
      <x v="4"/>
    </i>
    <i>
      <x v="78"/>
    </i>
    <i>
      <x v="119"/>
    </i>
    <i>
      <x v="84"/>
    </i>
    <i>
      <x v="77"/>
    </i>
    <i>
      <x v="107"/>
    </i>
    <i>
      <x v="157"/>
    </i>
    <i>
      <x v="160"/>
    </i>
    <i>
      <x v="61"/>
    </i>
    <i>
      <x v="64"/>
    </i>
    <i>
      <x v="2"/>
    </i>
    <i>
      <x v="100"/>
    </i>
    <i>
      <x v="97"/>
    </i>
    <i>
      <x v="134"/>
    </i>
    <i>
      <x v="35"/>
    </i>
    <i>
      <x v="124"/>
    </i>
    <i>
      <x v="37"/>
    </i>
    <i>
      <x v="82"/>
    </i>
    <i>
      <x v="74"/>
    </i>
    <i>
      <x v="15"/>
    </i>
    <i>
      <x v="141"/>
    </i>
    <i>
      <x v="123"/>
    </i>
    <i>
      <x v="95"/>
    </i>
    <i>
      <x v="75"/>
    </i>
    <i>
      <x v="47"/>
    </i>
    <i>
      <x v="32"/>
    </i>
    <i>
      <x v="161"/>
    </i>
    <i>
      <x v="143"/>
    </i>
    <i>
      <x v="3"/>
    </i>
    <i>
      <x v="68"/>
    </i>
    <i>
      <x v="145"/>
    </i>
    <i>
      <x v="93"/>
    </i>
    <i>
      <x v="120"/>
    </i>
    <i>
      <x v="18"/>
    </i>
    <i>
      <x v="10"/>
    </i>
    <i>
      <x v="80"/>
    </i>
    <i>
      <x v="112"/>
    </i>
    <i>
      <x v="155"/>
    </i>
    <i>
      <x v="109"/>
    </i>
    <i>
      <x v="48"/>
    </i>
    <i>
      <x v="140"/>
    </i>
    <i>
      <x v="59"/>
    </i>
    <i>
      <x v="116"/>
    </i>
    <i>
      <x v="7"/>
    </i>
    <i>
      <x v="25"/>
    </i>
    <i>
      <x v="55"/>
    </i>
    <i>
      <x v="99"/>
    </i>
    <i>
      <x v="130"/>
    </i>
    <i>
      <x v="118"/>
    </i>
    <i>
      <x v="152"/>
    </i>
    <i>
      <x v="105"/>
    </i>
    <i>
      <x v="158"/>
    </i>
    <i>
      <x v="131"/>
    </i>
    <i>
      <x v="12"/>
    </i>
    <i>
      <x v="89"/>
    </i>
    <i>
      <x v="58"/>
    </i>
    <i>
      <x v="104"/>
    </i>
    <i>
      <x v="13"/>
    </i>
    <i>
      <x v="147"/>
    </i>
    <i>
      <x v="132"/>
    </i>
    <i>
      <x v="126"/>
    </i>
    <i>
      <x v="36"/>
    </i>
    <i>
      <x v="146"/>
    </i>
    <i>
      <x v="133"/>
    </i>
    <i>
      <x v="110"/>
    </i>
    <i>
      <x v="69"/>
    </i>
    <i>
      <x v="144"/>
    </i>
    <i>
      <x v="21"/>
    </i>
    <i>
      <x v="43"/>
    </i>
    <i>
      <x v="81"/>
    </i>
    <i>
      <x v="108"/>
    </i>
    <i>
      <x v="66"/>
    </i>
    <i>
      <x v="163"/>
    </i>
    <i>
      <x v="86"/>
    </i>
    <i t="grand">
      <x/>
    </i>
  </rowItems>
  <colFields count="1">
    <field x="-2"/>
  </colFields>
  <colItems count="3">
    <i>
      <x/>
    </i>
    <i i="1">
      <x v="1"/>
    </i>
    <i i="2">
      <x v="2"/>
    </i>
  </colItems>
  <dataFields count="3">
    <dataField name="Count of Order_ID" fld="0" subtotal="count" baseField="0" baseItem="0"/>
    <dataField name="Sum of Revenue" fld="9"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0" firstHeaderRow="1" firstDataRow="1" firstDataCol="1"/>
  <pivotFields count="17">
    <pivotField showAll="0"/>
    <pivotField showAll="0"/>
    <pivotField showAll="0"/>
    <pivotField axis="axisRow" showAll="0" sortType="descending">
      <items count="17">
        <item x="1"/>
        <item x="7"/>
        <item x="11"/>
        <item x="4"/>
        <item x="6"/>
        <item x="3"/>
        <item x="13"/>
        <item x="14"/>
        <item x="9"/>
        <item x="8"/>
        <item x="2"/>
        <item x="12"/>
        <item x="5"/>
        <item x="10"/>
        <item x="1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17">
    <i>
      <x/>
    </i>
    <i>
      <x v="12"/>
    </i>
    <i>
      <x v="11"/>
    </i>
    <i>
      <x v="6"/>
    </i>
    <i>
      <x v="4"/>
    </i>
    <i>
      <x v="5"/>
    </i>
    <i>
      <x v="15"/>
    </i>
    <i>
      <x v="1"/>
    </i>
    <i>
      <x v="7"/>
    </i>
    <i>
      <x v="14"/>
    </i>
    <i>
      <x v="8"/>
    </i>
    <i>
      <x v="3"/>
    </i>
    <i>
      <x v="13"/>
    </i>
    <i>
      <x v="9"/>
    </i>
    <i>
      <x v="10"/>
    </i>
    <i>
      <x v="2"/>
    </i>
    <i t="grand">
      <x/>
    </i>
  </rowItems>
  <colItems count="1">
    <i/>
  </colItems>
  <dataFields count="1">
    <dataField name="Sum of Revenue"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O503" totalsRowShown="0" headerRowDxfId="33" headerRowBorderDxfId="32" tableBorderDxfId="31">
  <autoFilter ref="A1:O503">
    <filterColumn colId="1">
      <filters>
        <filter val="2025/13/05"/>
        <filter val="not_available"/>
        <dateGroupItem year="2025" dateTimeGrouping="year"/>
      </filters>
    </filterColumn>
  </autoFilter>
  <sortState ref="A2:M503">
    <sortCondition ref="J1:J503"/>
  </sortState>
  <tableColumns count="15">
    <tableColumn id="1" name="Order_ID"/>
    <tableColumn id="2" name="Order_Date" dataDxfId="30"/>
    <tableColumn id="3" name="Customer_ID"/>
    <tableColumn id="4" name="Product"/>
    <tableColumn id="5" name="Category"/>
    <tableColumn id="6" name="Region"/>
    <tableColumn id="7" name="Quantity"/>
    <tableColumn id="8" name="Unit_Price"/>
    <tableColumn id="9" name="Discount"/>
    <tableColumn id="10" name="Revenue"/>
    <tableColumn id="11" name="Cost"/>
    <tableColumn id="12" name="Profit"/>
    <tableColumn id="13" name="Order_Status"/>
    <tableColumn id="16" name="Expected_Revenue" dataDxfId="29">
      <calculatedColumnFormula>IF(ABS(ROUND(G2*H2*(1-I2),2)-J2)&lt;=0.01,"OK","Mismatch")</calculatedColumnFormula>
    </tableColumn>
    <tableColumn id="23" name="New_profit " dataDxfId="28">
      <calculatedColumnFormula>IF(ROUND(J2-K2,2)=ROUND(L2,2),"OK","Mismatch")</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Q500" totalsRowShown="0" headerRowDxfId="26" dataDxfId="24" headerRowBorderDxfId="25" tableBorderDxfId="23" totalsRowBorderDxfId="22">
  <autoFilter ref="A1:Q500"/>
  <tableColumns count="17">
    <tableColumn id="1" name="Order_ID" dataDxfId="21"/>
    <tableColumn id="2" name="Order_Date" dataDxfId="20"/>
    <tableColumn id="3" name="Customer_ID" dataDxfId="19"/>
    <tableColumn id="4" name="Product" dataDxfId="18"/>
    <tableColumn id="5" name="Category" dataDxfId="17"/>
    <tableColumn id="6" name="Region" dataDxfId="16"/>
    <tableColumn id="7" name="Quantity" dataDxfId="15"/>
    <tableColumn id="8" name="Unit_Price" dataDxfId="14"/>
    <tableColumn id="9" name="Discount" dataDxfId="13"/>
    <tableColumn id="10" name="Revenue" dataDxfId="12"/>
    <tableColumn id="11" name="Cost" dataDxfId="11"/>
    <tableColumn id="12" name="Profit" dataDxfId="10"/>
    <tableColumn id="13" name="Order_Status" dataDxfId="9"/>
    <tableColumn id="14" name="Expected_Revenue" dataDxfId="8"/>
    <tableColumn id="15" name="New_profit " dataDxfId="7"/>
    <tableColumn id="23" name="Analysis_Date" dataDxfId="6">
      <calculatedColumnFormula>IF(ISNUMBER(B2),INT(B2),"")</calculatedColumnFormula>
    </tableColumn>
    <tableColumn id="24" name="Year_Month" dataDxfId="5">
      <calculatedColumnFormula>IF(ISNUMBER(B2),TEXT(B2,"yyyy-mm"),"Invalid/Missing")</calculatedColumnFormula>
    </tableColumn>
  </tableColumns>
  <tableStyleInfo name="TableStyleMedium9" showFirstColumn="0" showLastColumn="0" showRowStripes="1" showColumnStripes="0"/>
</table>
</file>

<file path=xl/tables/table3.xml><?xml version="1.0" encoding="utf-8"?>
<table xmlns="http://schemas.openxmlformats.org/spreadsheetml/2006/main" id="5" name="Table5" displayName="Table5" ref="S6:W22" totalsRowShown="0" headerRowDxfId="4">
  <autoFilter ref="S6:W22"/>
  <sortState ref="S7:W22">
    <sortCondition descending="1" ref="T7:T22"/>
  </sortState>
  <tableColumns count="5">
    <tableColumn id="1" name="Product"/>
    <tableColumn id="2" name="Orders" dataDxfId="3"/>
    <tableColumn id="3" name="Revenue"/>
    <tableColumn id="4" name="Quantity"/>
    <tableColumn id="5" name="AOV" dataDxfId="2">
      <calculatedColumnFormula>U7/T7</calculatedColumnFormula>
    </tableColumn>
  </tableColumns>
  <tableStyleInfo name="TableStyleMedium9" showFirstColumn="0" showLastColumn="0" showRowStripes="1" showColumnStripes="0"/>
</table>
</file>

<file path=xl/tables/table4.xml><?xml version="1.0" encoding="utf-8"?>
<table xmlns="http://schemas.openxmlformats.org/spreadsheetml/2006/main" id="6" name="Table6" displayName="Table6" ref="A1:Q129" totalsRowShown="0">
  <autoFilter ref="A1:Q129"/>
  <tableColumns count="17">
    <tableColumn id="1" name="Order_ID"/>
    <tableColumn id="2" name="Order_Date" dataDxfId="1"/>
    <tableColumn id="3" name="Customer_ID"/>
    <tableColumn id="4" name="Product"/>
    <tableColumn id="5" name="Category"/>
    <tableColumn id="6" name="Region"/>
    <tableColumn id="7" name="Quantity"/>
    <tableColumn id="8" name="Unit_Price"/>
    <tableColumn id="9" name="Discount"/>
    <tableColumn id="10" name="Revenue"/>
    <tableColumn id="11" name="Cost"/>
    <tableColumn id="12" name="Profit"/>
    <tableColumn id="13" name="Order_Status"/>
    <tableColumn id="14" name="Expected_Revenue"/>
    <tableColumn id="15" name="New_profit "/>
    <tableColumn id="16" name="Analysis_Date" dataDxfId="0"/>
    <tableColumn id="17" name="Year_Mont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03"/>
  <sheetViews>
    <sheetView workbookViewId="0">
      <selection activeCell="D343" sqref="D343"/>
    </sheetView>
  </sheetViews>
  <sheetFormatPr defaultRowHeight="15"/>
  <cols>
    <col min="1" max="1" width="22.140625" customWidth="1"/>
    <col min="2" max="2" width="23" customWidth="1"/>
    <col min="3" max="3" width="23.85546875" customWidth="1"/>
    <col min="4" max="4" width="18.7109375" customWidth="1"/>
    <col min="5" max="5" width="19.85546875" customWidth="1"/>
    <col min="6" max="6" width="14.7109375" customWidth="1"/>
    <col min="7" max="7" width="10.85546875" customWidth="1"/>
    <col min="8" max="8" width="16.28515625" customWidth="1"/>
    <col min="9" max="9" width="17.42578125" customWidth="1"/>
    <col min="10" max="10" width="13" customWidth="1"/>
    <col min="11" max="11" width="12.5703125" customWidth="1"/>
    <col min="12" max="12" width="11" customWidth="1"/>
    <col min="13" max="13" width="21.28515625" customWidth="1"/>
    <col min="14" max="14" width="18" customWidth="1"/>
    <col min="15" max="15" width="18.7109375" customWidth="1"/>
  </cols>
  <sheetData>
    <row r="1" spans="1:18">
      <c r="A1" s="3" t="s">
        <v>0</v>
      </c>
      <c r="B1" s="3" t="s">
        <v>1</v>
      </c>
      <c r="C1" s="3" t="s">
        <v>2</v>
      </c>
      <c r="D1" s="3" t="s">
        <v>3</v>
      </c>
      <c r="E1" s="3" t="s">
        <v>4</v>
      </c>
      <c r="F1" s="3" t="s">
        <v>5</v>
      </c>
      <c r="G1" s="3" t="s">
        <v>6</v>
      </c>
      <c r="H1" s="3" t="s">
        <v>7</v>
      </c>
      <c r="I1" s="3" t="s">
        <v>8</v>
      </c>
      <c r="J1" s="3" t="s">
        <v>9</v>
      </c>
      <c r="K1" s="3" t="s">
        <v>10</v>
      </c>
      <c r="L1" s="3" t="s">
        <v>11</v>
      </c>
      <c r="M1" s="3" t="s">
        <v>12</v>
      </c>
      <c r="N1" s="6" t="s">
        <v>725</v>
      </c>
      <c r="O1" s="6" t="s">
        <v>726</v>
      </c>
    </row>
    <row r="2" spans="1:18">
      <c r="A2" t="s">
        <v>199</v>
      </c>
      <c r="B2" s="2">
        <v>46007</v>
      </c>
      <c r="C2" t="s">
        <v>14</v>
      </c>
      <c r="D2" t="s">
        <v>70</v>
      </c>
      <c r="E2" t="s">
        <v>35</v>
      </c>
      <c r="F2" t="s">
        <v>36</v>
      </c>
      <c r="G2">
        <v>1</v>
      </c>
      <c r="H2">
        <v>9.3000000000000007</v>
      </c>
      <c r="I2">
        <v>0</v>
      </c>
      <c r="J2">
        <v>9.3000000000000007</v>
      </c>
      <c r="K2">
        <v>6.13</v>
      </c>
      <c r="L2">
        <v>3.17</v>
      </c>
      <c r="M2" t="s">
        <v>24</v>
      </c>
      <c r="N2" t="str">
        <f t="shared" ref="N2:N65" si="0">IF(ABS(ROUND(G2*H2*(1-I2),2)-J2)&lt;=0.01,"OK","Mismatch")</f>
        <v>OK</v>
      </c>
      <c r="O2" s="7" t="str">
        <f t="shared" ref="O2:O65" si="1">IF(ROUND(J2-K2,2)=ROUND(L2,2),"OK","Mismatch")</f>
        <v>OK</v>
      </c>
      <c r="Q2">
        <f>COUNTIFS(I2:I503,"&gt;100")</f>
        <v>0</v>
      </c>
      <c r="R2">
        <f>COUNTIFS(I2:I503,"&gt;1")</f>
        <v>1</v>
      </c>
    </row>
    <row r="3" spans="1:18">
      <c r="A3" t="s">
        <v>199</v>
      </c>
      <c r="B3" s="2">
        <v>46007</v>
      </c>
      <c r="C3" t="s">
        <v>14</v>
      </c>
      <c r="D3" t="s">
        <v>70</v>
      </c>
      <c r="E3" t="s">
        <v>35</v>
      </c>
      <c r="F3" t="s">
        <v>36</v>
      </c>
      <c r="G3">
        <v>1</v>
      </c>
      <c r="H3">
        <v>9.3000000000000007</v>
      </c>
      <c r="I3">
        <v>0</v>
      </c>
      <c r="J3">
        <v>9.3000000000000007</v>
      </c>
      <c r="K3">
        <v>6.13</v>
      </c>
      <c r="L3">
        <v>3.17</v>
      </c>
      <c r="M3" t="s">
        <v>24</v>
      </c>
      <c r="N3" t="str">
        <f t="shared" si="0"/>
        <v>OK</v>
      </c>
      <c r="O3" s="7" t="str">
        <f t="shared" si="1"/>
        <v>OK</v>
      </c>
    </row>
    <row r="4" spans="1:18">
      <c r="A4" t="s">
        <v>374</v>
      </c>
      <c r="B4" s="2">
        <v>45875</v>
      </c>
      <c r="C4" t="s">
        <v>375</v>
      </c>
      <c r="D4" t="s">
        <v>88</v>
      </c>
      <c r="E4" t="s">
        <v>16</v>
      </c>
      <c r="F4" t="s">
        <v>36</v>
      </c>
      <c r="G4">
        <v>1</v>
      </c>
      <c r="H4">
        <v>10.72</v>
      </c>
      <c r="I4">
        <v>0</v>
      </c>
      <c r="J4">
        <v>10.72</v>
      </c>
      <c r="K4">
        <v>8.5299999999999994</v>
      </c>
      <c r="L4">
        <v>2.19</v>
      </c>
      <c r="M4" t="s">
        <v>24</v>
      </c>
      <c r="N4" t="str">
        <f t="shared" si="0"/>
        <v>OK</v>
      </c>
      <c r="O4" s="7" t="str">
        <f t="shared" si="1"/>
        <v>OK</v>
      </c>
      <c r="Q4">
        <f>COUNTIF(I2:I503,"&lt;0")</f>
        <v>0</v>
      </c>
      <c r="R4">
        <f>MAX(I2:I503)</f>
        <v>1.25</v>
      </c>
    </row>
    <row r="5" spans="1:18">
      <c r="A5" t="s">
        <v>351</v>
      </c>
      <c r="B5" s="2">
        <v>45658</v>
      </c>
      <c r="C5" t="s">
        <v>352</v>
      </c>
      <c r="D5" t="s">
        <v>45</v>
      </c>
      <c r="E5" t="s">
        <v>22</v>
      </c>
      <c r="F5" t="s">
        <v>17</v>
      </c>
      <c r="G5">
        <v>1</v>
      </c>
      <c r="H5">
        <v>13.23</v>
      </c>
      <c r="I5">
        <v>0.15</v>
      </c>
      <c r="J5">
        <v>11.25</v>
      </c>
      <c r="K5">
        <v>8.51</v>
      </c>
      <c r="L5">
        <v>2.74</v>
      </c>
      <c r="M5" t="s">
        <v>18</v>
      </c>
      <c r="N5" t="str">
        <f t="shared" si="0"/>
        <v>OK</v>
      </c>
      <c r="O5" s="7" t="str">
        <f t="shared" si="1"/>
        <v>OK</v>
      </c>
    </row>
    <row r="6" spans="1:18">
      <c r="A6" t="s">
        <v>137</v>
      </c>
      <c r="B6" s="2">
        <v>45941</v>
      </c>
      <c r="C6" t="s">
        <v>138</v>
      </c>
      <c r="D6" t="s">
        <v>139</v>
      </c>
      <c r="E6" t="s">
        <v>16</v>
      </c>
      <c r="F6" t="s">
        <v>23</v>
      </c>
      <c r="G6">
        <v>1</v>
      </c>
      <c r="H6">
        <v>17.2</v>
      </c>
      <c r="I6">
        <v>0.2</v>
      </c>
      <c r="J6">
        <v>13.76</v>
      </c>
      <c r="K6">
        <v>11.07</v>
      </c>
      <c r="L6">
        <v>2.69</v>
      </c>
      <c r="M6" t="s">
        <v>18</v>
      </c>
      <c r="N6" t="str">
        <f t="shared" si="0"/>
        <v>OK</v>
      </c>
      <c r="O6" s="7" t="str">
        <f t="shared" si="1"/>
        <v>OK</v>
      </c>
    </row>
    <row r="7" spans="1:18">
      <c r="A7" t="s">
        <v>483</v>
      </c>
      <c r="B7" s="2">
        <v>45782</v>
      </c>
      <c r="C7" t="s">
        <v>484</v>
      </c>
      <c r="D7" t="s">
        <v>34</v>
      </c>
      <c r="E7" t="s">
        <v>35</v>
      </c>
      <c r="F7" t="s">
        <v>36</v>
      </c>
      <c r="G7">
        <v>1</v>
      </c>
      <c r="H7">
        <v>16.28</v>
      </c>
      <c r="I7">
        <v>0.15</v>
      </c>
      <c r="J7">
        <v>13.84</v>
      </c>
      <c r="K7">
        <v>11.15</v>
      </c>
      <c r="L7">
        <v>2.69</v>
      </c>
      <c r="M7" t="s">
        <v>18</v>
      </c>
      <c r="N7" t="str">
        <f t="shared" si="0"/>
        <v>OK</v>
      </c>
      <c r="O7" s="7" t="str">
        <f t="shared" si="1"/>
        <v>OK</v>
      </c>
    </row>
    <row r="8" spans="1:18">
      <c r="A8" t="s">
        <v>611</v>
      </c>
      <c r="B8" s="2">
        <v>45794</v>
      </c>
      <c r="C8" t="s">
        <v>81</v>
      </c>
      <c r="D8" t="s">
        <v>41</v>
      </c>
      <c r="E8" t="s">
        <v>42</v>
      </c>
      <c r="F8" t="s">
        <v>17</v>
      </c>
      <c r="G8">
        <v>1</v>
      </c>
      <c r="H8">
        <v>16.68</v>
      </c>
      <c r="I8">
        <v>0.1</v>
      </c>
      <c r="J8">
        <v>15.01</v>
      </c>
      <c r="K8">
        <v>9.99</v>
      </c>
      <c r="L8">
        <v>5.0199999999999996</v>
      </c>
      <c r="M8" t="s">
        <v>18</v>
      </c>
      <c r="N8" t="str">
        <f t="shared" si="0"/>
        <v>OK</v>
      </c>
      <c r="O8" s="7" t="str">
        <f t="shared" si="1"/>
        <v>OK</v>
      </c>
    </row>
    <row r="9" spans="1:18">
      <c r="A9" t="s">
        <v>323</v>
      </c>
      <c r="B9" s="2">
        <v>46005</v>
      </c>
      <c r="C9" t="s">
        <v>278</v>
      </c>
      <c r="D9" t="s">
        <v>110</v>
      </c>
      <c r="E9" t="s">
        <v>35</v>
      </c>
      <c r="F9" t="s">
        <v>23</v>
      </c>
      <c r="G9">
        <v>1</v>
      </c>
      <c r="H9">
        <v>16.940000000000001</v>
      </c>
      <c r="I9">
        <v>0.05</v>
      </c>
      <c r="J9">
        <v>16.09</v>
      </c>
      <c r="K9">
        <v>12.27</v>
      </c>
      <c r="L9">
        <v>3.82</v>
      </c>
      <c r="M9" t="s">
        <v>18</v>
      </c>
      <c r="N9" t="str">
        <f t="shared" si="0"/>
        <v>OK</v>
      </c>
      <c r="O9" s="7" t="str">
        <f t="shared" si="1"/>
        <v>OK</v>
      </c>
    </row>
    <row r="10" spans="1:18">
      <c r="A10" t="s">
        <v>504</v>
      </c>
      <c r="B10" s="2">
        <v>45756</v>
      </c>
      <c r="C10" t="s">
        <v>237</v>
      </c>
      <c r="D10" t="s">
        <v>88</v>
      </c>
      <c r="E10" t="s">
        <v>16</v>
      </c>
      <c r="F10" t="s">
        <v>17</v>
      </c>
      <c r="G10">
        <v>1</v>
      </c>
      <c r="H10">
        <v>19.59</v>
      </c>
      <c r="I10">
        <v>0.05</v>
      </c>
      <c r="J10">
        <v>18.61</v>
      </c>
      <c r="K10">
        <v>14.99</v>
      </c>
      <c r="L10">
        <v>3.62</v>
      </c>
      <c r="M10" t="s">
        <v>24</v>
      </c>
      <c r="N10" t="str">
        <f t="shared" si="0"/>
        <v>OK</v>
      </c>
      <c r="O10" s="7" t="str">
        <f t="shared" si="1"/>
        <v>OK</v>
      </c>
    </row>
    <row r="11" spans="1:18">
      <c r="A11" t="s">
        <v>703</v>
      </c>
      <c r="B11" s="2">
        <v>45865</v>
      </c>
      <c r="C11" t="s">
        <v>240</v>
      </c>
      <c r="D11" t="s">
        <v>15</v>
      </c>
      <c r="E11" t="s">
        <v>16</v>
      </c>
      <c r="F11" t="s">
        <v>23</v>
      </c>
      <c r="G11">
        <v>1</v>
      </c>
      <c r="H11">
        <v>23.31</v>
      </c>
      <c r="I11">
        <v>0.2</v>
      </c>
      <c r="J11">
        <v>18.649999999999999</v>
      </c>
      <c r="K11">
        <v>13.28</v>
      </c>
      <c r="L11">
        <v>5.37</v>
      </c>
      <c r="M11" t="s">
        <v>24</v>
      </c>
      <c r="N11" t="str">
        <f t="shared" si="0"/>
        <v>OK</v>
      </c>
      <c r="O11" s="7" t="str">
        <f t="shared" si="1"/>
        <v>OK</v>
      </c>
    </row>
    <row r="12" spans="1:18">
      <c r="A12" t="s">
        <v>247</v>
      </c>
      <c r="B12" s="2">
        <v>45769</v>
      </c>
      <c r="C12" t="s">
        <v>248</v>
      </c>
      <c r="D12" t="s">
        <v>15</v>
      </c>
      <c r="E12" t="s">
        <v>16</v>
      </c>
      <c r="F12" t="s">
        <v>17</v>
      </c>
      <c r="G12">
        <v>2</v>
      </c>
      <c r="H12">
        <v>10.24</v>
      </c>
      <c r="I12">
        <v>0</v>
      </c>
      <c r="J12">
        <v>20.48</v>
      </c>
      <c r="K12">
        <v>12.54</v>
      </c>
      <c r="L12">
        <v>7.94</v>
      </c>
      <c r="M12" t="s">
        <v>18</v>
      </c>
      <c r="N12" t="str">
        <f t="shared" si="0"/>
        <v>OK</v>
      </c>
      <c r="O12" s="7" t="str">
        <f t="shared" si="1"/>
        <v>OK</v>
      </c>
    </row>
    <row r="13" spans="1:18">
      <c r="A13" t="s">
        <v>200</v>
      </c>
      <c r="B13" s="2">
        <v>45880</v>
      </c>
      <c r="C13" t="s">
        <v>168</v>
      </c>
      <c r="D13" t="s">
        <v>41</v>
      </c>
      <c r="E13" t="s">
        <v>42</v>
      </c>
      <c r="F13" t="s">
        <v>36</v>
      </c>
      <c r="G13">
        <v>1</v>
      </c>
      <c r="H13">
        <v>21.8</v>
      </c>
      <c r="I13">
        <v>0.05</v>
      </c>
      <c r="J13">
        <v>20.71</v>
      </c>
      <c r="K13">
        <v>13.94</v>
      </c>
      <c r="L13">
        <v>6.77</v>
      </c>
      <c r="M13" t="s">
        <v>24</v>
      </c>
      <c r="N13" t="str">
        <f t="shared" si="0"/>
        <v>OK</v>
      </c>
      <c r="O13" s="7" t="str">
        <f t="shared" si="1"/>
        <v>OK</v>
      </c>
    </row>
    <row r="14" spans="1:18">
      <c r="A14" t="s">
        <v>545</v>
      </c>
      <c r="B14" s="2">
        <v>45758</v>
      </c>
      <c r="C14" t="s">
        <v>52</v>
      </c>
      <c r="D14" t="s">
        <v>88</v>
      </c>
      <c r="E14" t="s">
        <v>16</v>
      </c>
      <c r="F14" t="s">
        <v>17</v>
      </c>
      <c r="G14">
        <v>1</v>
      </c>
      <c r="H14">
        <v>26.12</v>
      </c>
      <c r="I14">
        <v>0.1</v>
      </c>
      <c r="J14">
        <v>23.51</v>
      </c>
      <c r="K14">
        <v>17.47</v>
      </c>
      <c r="L14">
        <v>6.04</v>
      </c>
      <c r="M14" t="s">
        <v>18</v>
      </c>
      <c r="N14" t="str">
        <f t="shared" si="0"/>
        <v>OK</v>
      </c>
      <c r="O14" s="7" t="str">
        <f t="shared" si="1"/>
        <v>OK</v>
      </c>
    </row>
    <row r="15" spans="1:18">
      <c r="A15" t="s">
        <v>171</v>
      </c>
      <c r="B15" s="2">
        <v>45945</v>
      </c>
      <c r="C15" t="s">
        <v>172</v>
      </c>
      <c r="D15" t="s">
        <v>110</v>
      </c>
      <c r="E15" t="s">
        <v>35</v>
      </c>
      <c r="F15" t="s">
        <v>23</v>
      </c>
      <c r="G15">
        <v>1</v>
      </c>
      <c r="H15">
        <v>30.22</v>
      </c>
      <c r="I15">
        <v>0.2</v>
      </c>
      <c r="J15">
        <v>24.18</v>
      </c>
      <c r="K15">
        <v>17.7</v>
      </c>
      <c r="L15">
        <v>6.48</v>
      </c>
      <c r="M15" t="s">
        <v>18</v>
      </c>
      <c r="N15" t="str">
        <f t="shared" si="0"/>
        <v>OK</v>
      </c>
      <c r="O15" s="7" t="str">
        <f t="shared" si="1"/>
        <v>OK</v>
      </c>
    </row>
    <row r="16" spans="1:18">
      <c r="A16" t="s">
        <v>458</v>
      </c>
      <c r="B16" s="2">
        <v>45884</v>
      </c>
      <c r="C16" t="s">
        <v>168</v>
      </c>
      <c r="D16" t="s">
        <v>56</v>
      </c>
      <c r="E16" t="s">
        <v>16</v>
      </c>
      <c r="F16" t="s">
        <v>17</v>
      </c>
      <c r="G16">
        <v>1</v>
      </c>
      <c r="H16">
        <v>24.19</v>
      </c>
      <c r="I16">
        <v>0</v>
      </c>
      <c r="J16">
        <v>24.19</v>
      </c>
      <c r="K16">
        <v>15.35</v>
      </c>
      <c r="L16">
        <v>8.84</v>
      </c>
      <c r="M16" t="s">
        <v>18</v>
      </c>
      <c r="N16" t="str">
        <f t="shared" si="0"/>
        <v>OK</v>
      </c>
      <c r="O16" s="7" t="str">
        <f t="shared" si="1"/>
        <v>OK</v>
      </c>
    </row>
    <row r="17" spans="1:15">
      <c r="A17" t="s">
        <v>362</v>
      </c>
      <c r="B17" s="2">
        <v>45949</v>
      </c>
      <c r="C17" t="s">
        <v>69</v>
      </c>
      <c r="D17" t="s">
        <v>70</v>
      </c>
      <c r="E17" t="s">
        <v>35</v>
      </c>
      <c r="F17" t="s">
        <v>17</v>
      </c>
      <c r="G17">
        <v>3</v>
      </c>
      <c r="H17">
        <v>9.3000000000000007</v>
      </c>
      <c r="I17">
        <v>0.1</v>
      </c>
      <c r="J17">
        <v>25.11</v>
      </c>
      <c r="K17">
        <v>20.58</v>
      </c>
      <c r="L17">
        <v>4.53</v>
      </c>
      <c r="M17" t="s">
        <v>18</v>
      </c>
      <c r="N17" t="str">
        <f t="shared" si="0"/>
        <v>OK</v>
      </c>
      <c r="O17" s="7" t="str">
        <f t="shared" si="1"/>
        <v>OK</v>
      </c>
    </row>
    <row r="18" spans="1:15">
      <c r="A18" t="s">
        <v>265</v>
      </c>
      <c r="B18" s="2">
        <v>45975</v>
      </c>
      <c r="C18" t="s">
        <v>266</v>
      </c>
      <c r="D18" t="s">
        <v>139</v>
      </c>
      <c r="E18" t="s">
        <v>16</v>
      </c>
      <c r="F18" t="s">
        <v>23</v>
      </c>
      <c r="G18">
        <v>1</v>
      </c>
      <c r="H18">
        <v>31.53</v>
      </c>
      <c r="I18">
        <v>0.2</v>
      </c>
      <c r="J18">
        <v>25.22</v>
      </c>
      <c r="K18">
        <v>17.25</v>
      </c>
      <c r="L18">
        <v>7.97</v>
      </c>
      <c r="M18" t="s">
        <v>24</v>
      </c>
      <c r="N18" t="str">
        <f t="shared" si="0"/>
        <v>OK</v>
      </c>
      <c r="O18" s="7" t="str">
        <f t="shared" si="1"/>
        <v>OK</v>
      </c>
    </row>
    <row r="19" spans="1:15">
      <c r="A19" t="s">
        <v>565</v>
      </c>
      <c r="B19" s="2">
        <v>45727</v>
      </c>
      <c r="C19" t="s">
        <v>287</v>
      </c>
      <c r="D19" t="s">
        <v>15</v>
      </c>
      <c r="E19" t="s">
        <v>16</v>
      </c>
      <c r="F19" t="s">
        <v>23</v>
      </c>
      <c r="G19">
        <v>1</v>
      </c>
      <c r="H19">
        <v>31.56</v>
      </c>
      <c r="I19">
        <v>0.2</v>
      </c>
      <c r="J19">
        <v>25.25</v>
      </c>
      <c r="K19">
        <v>17.88</v>
      </c>
      <c r="L19">
        <v>7.37</v>
      </c>
      <c r="M19" t="s">
        <v>24</v>
      </c>
      <c r="N19" t="str">
        <f t="shared" si="0"/>
        <v>OK</v>
      </c>
      <c r="O19" s="7" t="str">
        <f t="shared" si="1"/>
        <v>OK</v>
      </c>
    </row>
    <row r="20" spans="1:15">
      <c r="A20" t="s">
        <v>510</v>
      </c>
      <c r="B20" s="2">
        <v>45724</v>
      </c>
      <c r="D20" t="s">
        <v>77</v>
      </c>
      <c r="E20" t="s">
        <v>22</v>
      </c>
      <c r="F20" t="s">
        <v>30</v>
      </c>
      <c r="G20">
        <v>1</v>
      </c>
      <c r="H20">
        <v>26.1</v>
      </c>
      <c r="I20">
        <v>0</v>
      </c>
      <c r="J20">
        <v>26.1</v>
      </c>
      <c r="K20">
        <v>21.97</v>
      </c>
      <c r="L20">
        <v>4.13</v>
      </c>
      <c r="M20" t="s">
        <v>18</v>
      </c>
      <c r="N20" t="str">
        <f t="shared" si="0"/>
        <v>OK</v>
      </c>
      <c r="O20" s="7" t="str">
        <f t="shared" si="1"/>
        <v>OK</v>
      </c>
    </row>
    <row r="21" spans="1:15">
      <c r="A21" t="s">
        <v>68</v>
      </c>
      <c r="B21" s="2">
        <v>45882</v>
      </c>
      <c r="C21" t="s">
        <v>69</v>
      </c>
      <c r="D21" t="s">
        <v>70</v>
      </c>
      <c r="E21" t="s">
        <v>35</v>
      </c>
      <c r="F21" t="s">
        <v>36</v>
      </c>
      <c r="G21">
        <v>3</v>
      </c>
      <c r="H21">
        <v>9.1999999999999993</v>
      </c>
      <c r="I21">
        <v>0.05</v>
      </c>
      <c r="J21">
        <v>26.22</v>
      </c>
      <c r="K21">
        <v>17.7</v>
      </c>
      <c r="L21">
        <v>8.52</v>
      </c>
      <c r="M21" t="s">
        <v>31</v>
      </c>
      <c r="N21" t="str">
        <f t="shared" si="0"/>
        <v>OK</v>
      </c>
      <c r="O21" s="7" t="str">
        <f t="shared" si="1"/>
        <v>OK</v>
      </c>
    </row>
    <row r="22" spans="1:15">
      <c r="A22" t="s">
        <v>336</v>
      </c>
      <c r="B22" s="2">
        <v>45671</v>
      </c>
      <c r="C22" t="s">
        <v>337</v>
      </c>
      <c r="D22" t="s">
        <v>34</v>
      </c>
      <c r="E22" t="s">
        <v>35</v>
      </c>
      <c r="F22" t="s">
        <v>36</v>
      </c>
      <c r="G22">
        <v>1</v>
      </c>
      <c r="H22">
        <v>30.63</v>
      </c>
      <c r="I22">
        <v>0.1</v>
      </c>
      <c r="J22">
        <v>27.57</v>
      </c>
      <c r="K22">
        <v>22.68</v>
      </c>
      <c r="L22">
        <v>4.8899999999999997</v>
      </c>
      <c r="M22" t="s">
        <v>18</v>
      </c>
      <c r="N22" t="str">
        <f t="shared" si="0"/>
        <v>OK</v>
      </c>
      <c r="O22" s="7" t="str">
        <f t="shared" si="1"/>
        <v>OK</v>
      </c>
    </row>
    <row r="23" spans="1:15">
      <c r="A23" t="s">
        <v>688</v>
      </c>
      <c r="B23" s="2">
        <v>45862</v>
      </c>
      <c r="C23" t="s">
        <v>682</v>
      </c>
      <c r="D23" t="s">
        <v>56</v>
      </c>
      <c r="E23" t="s">
        <v>16</v>
      </c>
      <c r="F23" t="s">
        <v>36</v>
      </c>
      <c r="G23">
        <v>4</v>
      </c>
      <c r="H23">
        <v>8.11</v>
      </c>
      <c r="I23">
        <v>0.15</v>
      </c>
      <c r="J23">
        <v>27.57</v>
      </c>
      <c r="K23">
        <v>21.72</v>
      </c>
      <c r="L23">
        <v>5.85</v>
      </c>
      <c r="M23" t="s">
        <v>24</v>
      </c>
      <c r="N23" t="str">
        <f t="shared" si="0"/>
        <v>OK</v>
      </c>
      <c r="O23" s="7" t="str">
        <f t="shared" si="1"/>
        <v>OK</v>
      </c>
    </row>
    <row r="24" spans="1:15">
      <c r="A24" t="s">
        <v>524</v>
      </c>
      <c r="B24" s="2">
        <v>45720</v>
      </c>
      <c r="C24" t="s">
        <v>224</v>
      </c>
      <c r="D24" t="s">
        <v>48</v>
      </c>
      <c r="E24" t="s">
        <v>35</v>
      </c>
      <c r="F24" t="s">
        <v>17</v>
      </c>
      <c r="G24">
        <v>4</v>
      </c>
      <c r="H24">
        <v>8.5399999999999991</v>
      </c>
      <c r="I24">
        <v>0.1</v>
      </c>
      <c r="J24">
        <v>30.74</v>
      </c>
      <c r="K24">
        <v>19.66</v>
      </c>
      <c r="L24">
        <v>11.08</v>
      </c>
      <c r="M24" t="s">
        <v>18</v>
      </c>
      <c r="N24" t="str">
        <f t="shared" si="0"/>
        <v>OK</v>
      </c>
      <c r="O24" s="7" t="str">
        <f t="shared" si="1"/>
        <v>OK</v>
      </c>
    </row>
    <row r="25" spans="1:15">
      <c r="A25" t="s">
        <v>235</v>
      </c>
      <c r="B25" s="2">
        <v>45720</v>
      </c>
      <c r="C25" t="s">
        <v>38</v>
      </c>
      <c r="D25" t="s">
        <v>105</v>
      </c>
      <c r="E25" t="s">
        <v>42</v>
      </c>
      <c r="F25" t="s">
        <v>30</v>
      </c>
      <c r="G25">
        <v>1</v>
      </c>
      <c r="H25">
        <v>38.619999999999997</v>
      </c>
      <c r="I25">
        <v>0.2</v>
      </c>
      <c r="J25">
        <v>30.9</v>
      </c>
      <c r="K25">
        <v>18.37</v>
      </c>
      <c r="L25">
        <v>12.53</v>
      </c>
      <c r="M25" t="s">
        <v>24</v>
      </c>
      <c r="N25" t="str">
        <f t="shared" si="0"/>
        <v>OK</v>
      </c>
      <c r="O25" s="7" t="str">
        <f t="shared" si="1"/>
        <v>OK</v>
      </c>
    </row>
    <row r="26" spans="1:15">
      <c r="A26" t="s">
        <v>80</v>
      </c>
      <c r="B26" s="2">
        <v>45805</v>
      </c>
      <c r="C26" t="s">
        <v>81</v>
      </c>
      <c r="D26" t="s">
        <v>29</v>
      </c>
      <c r="E26" t="s">
        <v>22</v>
      </c>
      <c r="F26" t="s">
        <v>17</v>
      </c>
      <c r="G26">
        <v>1</v>
      </c>
      <c r="H26">
        <v>33.92</v>
      </c>
      <c r="I26">
        <v>0.05</v>
      </c>
      <c r="J26">
        <v>32.22</v>
      </c>
      <c r="K26">
        <v>24.45</v>
      </c>
      <c r="L26">
        <v>7.77</v>
      </c>
      <c r="M26" t="s">
        <v>18</v>
      </c>
      <c r="N26" t="str">
        <f t="shared" si="0"/>
        <v>OK</v>
      </c>
      <c r="O26" s="7" t="str">
        <f t="shared" si="1"/>
        <v>OK</v>
      </c>
    </row>
    <row r="27" spans="1:15">
      <c r="A27" t="s">
        <v>577</v>
      </c>
      <c r="B27" s="2">
        <v>45725</v>
      </c>
      <c r="C27" t="s">
        <v>79</v>
      </c>
      <c r="D27" t="s">
        <v>110</v>
      </c>
      <c r="E27" t="s">
        <v>35</v>
      </c>
      <c r="F27" t="s">
        <v>23</v>
      </c>
      <c r="G27">
        <v>1</v>
      </c>
      <c r="H27">
        <v>38.14</v>
      </c>
      <c r="I27">
        <v>0.15</v>
      </c>
      <c r="J27">
        <v>32.42</v>
      </c>
      <c r="K27">
        <v>20.58</v>
      </c>
      <c r="L27">
        <v>11.84</v>
      </c>
      <c r="M27" t="s">
        <v>31</v>
      </c>
      <c r="N27" t="str">
        <f t="shared" si="0"/>
        <v>OK</v>
      </c>
      <c r="O27" s="7" t="str">
        <f t="shared" si="1"/>
        <v>OK</v>
      </c>
    </row>
    <row r="28" spans="1:15">
      <c r="A28" t="s">
        <v>308</v>
      </c>
      <c r="B28" s="2">
        <v>45945</v>
      </c>
      <c r="C28" t="s">
        <v>20</v>
      </c>
      <c r="D28" t="s">
        <v>88</v>
      </c>
      <c r="E28" t="s">
        <v>16</v>
      </c>
      <c r="F28" t="s">
        <v>17</v>
      </c>
      <c r="G28">
        <v>1</v>
      </c>
      <c r="H28">
        <v>36.14</v>
      </c>
      <c r="I28">
        <v>0.1</v>
      </c>
      <c r="J28">
        <v>32.53</v>
      </c>
      <c r="K28">
        <v>24.66</v>
      </c>
      <c r="L28">
        <v>7.87</v>
      </c>
      <c r="M28" t="s">
        <v>24</v>
      </c>
      <c r="N28" t="str">
        <f t="shared" si="0"/>
        <v>OK</v>
      </c>
      <c r="O28" s="7" t="str">
        <f t="shared" si="1"/>
        <v>OK</v>
      </c>
    </row>
    <row r="29" spans="1:15">
      <c r="A29" t="s">
        <v>264</v>
      </c>
      <c r="B29" s="2">
        <v>45932</v>
      </c>
      <c r="C29" t="s">
        <v>55</v>
      </c>
      <c r="D29" t="s">
        <v>56</v>
      </c>
      <c r="E29" t="s">
        <v>16</v>
      </c>
      <c r="F29" t="s">
        <v>23</v>
      </c>
      <c r="G29">
        <v>5</v>
      </c>
      <c r="H29">
        <v>8.4</v>
      </c>
      <c r="I29">
        <v>0.2</v>
      </c>
      <c r="J29">
        <v>33.6</v>
      </c>
      <c r="K29">
        <v>18.53</v>
      </c>
      <c r="L29">
        <v>15.07</v>
      </c>
      <c r="M29" t="s">
        <v>24</v>
      </c>
      <c r="N29" t="str">
        <f t="shared" si="0"/>
        <v>OK</v>
      </c>
      <c r="O29" s="7" t="str">
        <f t="shared" si="1"/>
        <v>OK</v>
      </c>
    </row>
    <row r="30" spans="1:15">
      <c r="A30" t="s">
        <v>572</v>
      </c>
      <c r="B30" s="2">
        <v>45691</v>
      </c>
      <c r="C30" t="s">
        <v>83</v>
      </c>
      <c r="D30" t="s">
        <v>15</v>
      </c>
      <c r="E30" t="s">
        <v>16</v>
      </c>
      <c r="F30" t="s">
        <v>23</v>
      </c>
      <c r="G30">
        <v>5</v>
      </c>
      <c r="H30">
        <v>8.08</v>
      </c>
      <c r="I30">
        <v>0.15</v>
      </c>
      <c r="J30">
        <v>34.340000000000003</v>
      </c>
      <c r="K30">
        <v>20.47</v>
      </c>
      <c r="L30">
        <v>13.87</v>
      </c>
      <c r="M30" t="s">
        <v>18</v>
      </c>
      <c r="N30" t="str">
        <f t="shared" si="0"/>
        <v>OK</v>
      </c>
      <c r="O30" s="7" t="str">
        <f t="shared" si="1"/>
        <v>OK</v>
      </c>
    </row>
    <row r="31" spans="1:15">
      <c r="A31" t="s">
        <v>325</v>
      </c>
      <c r="B31" s="2">
        <v>45744</v>
      </c>
      <c r="C31" t="s">
        <v>268</v>
      </c>
      <c r="D31" t="s">
        <v>139</v>
      </c>
      <c r="E31" t="s">
        <v>16</v>
      </c>
      <c r="F31" t="s">
        <v>30</v>
      </c>
      <c r="G31">
        <v>1</v>
      </c>
      <c r="H31">
        <v>36.21</v>
      </c>
      <c r="I31">
        <v>0.05</v>
      </c>
      <c r="J31">
        <v>34.4</v>
      </c>
      <c r="K31">
        <v>26.4</v>
      </c>
      <c r="L31">
        <v>8</v>
      </c>
      <c r="M31" t="s">
        <v>24</v>
      </c>
      <c r="N31" t="str">
        <f t="shared" si="0"/>
        <v>OK</v>
      </c>
      <c r="O31" s="7" t="str">
        <f t="shared" si="1"/>
        <v>OK</v>
      </c>
    </row>
    <row r="32" spans="1:15">
      <c r="A32" t="s">
        <v>597</v>
      </c>
      <c r="B32" s="2">
        <v>45970</v>
      </c>
      <c r="C32" t="s">
        <v>285</v>
      </c>
      <c r="D32" t="s">
        <v>56</v>
      </c>
      <c r="E32" t="s">
        <v>16</v>
      </c>
      <c r="F32" t="s">
        <v>17</v>
      </c>
      <c r="G32">
        <v>1</v>
      </c>
      <c r="H32">
        <v>35.049999999999997</v>
      </c>
      <c r="I32">
        <v>0</v>
      </c>
      <c r="J32">
        <v>35.049999999999997</v>
      </c>
      <c r="K32">
        <v>22.33</v>
      </c>
      <c r="L32">
        <v>12.72</v>
      </c>
      <c r="M32" t="s">
        <v>18</v>
      </c>
      <c r="N32" t="str">
        <f t="shared" si="0"/>
        <v>OK</v>
      </c>
      <c r="O32" s="7" t="str">
        <f t="shared" si="1"/>
        <v>OK</v>
      </c>
    </row>
    <row r="33" spans="1:15">
      <c r="A33" t="s">
        <v>382</v>
      </c>
      <c r="B33" s="2">
        <v>45802</v>
      </c>
      <c r="C33" t="s">
        <v>383</v>
      </c>
      <c r="D33" t="s">
        <v>139</v>
      </c>
      <c r="E33" t="s">
        <v>16</v>
      </c>
      <c r="F33" t="s">
        <v>23</v>
      </c>
      <c r="G33">
        <v>1</v>
      </c>
      <c r="H33">
        <v>37.32</v>
      </c>
      <c r="I33">
        <v>0.05</v>
      </c>
      <c r="J33">
        <v>35.450000000000003</v>
      </c>
      <c r="K33">
        <v>23.99</v>
      </c>
      <c r="L33">
        <v>11.46</v>
      </c>
      <c r="M33" t="s">
        <v>24</v>
      </c>
      <c r="N33" t="str">
        <f t="shared" si="0"/>
        <v>OK</v>
      </c>
      <c r="O33" s="7" t="str">
        <f t="shared" si="1"/>
        <v>OK</v>
      </c>
    </row>
    <row r="34" spans="1:15">
      <c r="A34" t="s">
        <v>190</v>
      </c>
      <c r="B34" s="2">
        <v>45910</v>
      </c>
      <c r="C34" t="s">
        <v>191</v>
      </c>
      <c r="D34" t="s">
        <v>139</v>
      </c>
      <c r="E34" t="s">
        <v>16</v>
      </c>
      <c r="F34" t="s">
        <v>17</v>
      </c>
      <c r="G34">
        <v>5</v>
      </c>
      <c r="H34">
        <v>8.4499999999999993</v>
      </c>
      <c r="I34">
        <v>0.15</v>
      </c>
      <c r="J34">
        <v>35.909999999999997</v>
      </c>
      <c r="K34">
        <v>20.66</v>
      </c>
      <c r="L34">
        <v>15.25</v>
      </c>
      <c r="M34" t="s">
        <v>18</v>
      </c>
      <c r="N34" t="str">
        <f t="shared" si="0"/>
        <v>OK</v>
      </c>
      <c r="O34" s="7" t="str">
        <f t="shared" si="1"/>
        <v>OK</v>
      </c>
    </row>
    <row r="35" spans="1:15">
      <c r="A35" t="s">
        <v>97</v>
      </c>
      <c r="B35" s="2">
        <v>45849</v>
      </c>
      <c r="C35" t="s">
        <v>98</v>
      </c>
      <c r="D35" t="s">
        <v>15</v>
      </c>
      <c r="E35" t="s">
        <v>16</v>
      </c>
      <c r="F35" t="s">
        <v>23</v>
      </c>
      <c r="G35">
        <v>1</v>
      </c>
      <c r="H35">
        <v>41.58</v>
      </c>
      <c r="I35">
        <v>0.1</v>
      </c>
      <c r="J35">
        <v>37.42</v>
      </c>
      <c r="K35">
        <v>23.73</v>
      </c>
      <c r="L35">
        <v>13.69</v>
      </c>
      <c r="M35" t="s">
        <v>18</v>
      </c>
      <c r="N35" t="str">
        <f t="shared" si="0"/>
        <v>OK</v>
      </c>
      <c r="O35" s="7" t="str">
        <f t="shared" si="1"/>
        <v>OK</v>
      </c>
    </row>
    <row r="36" spans="1:15">
      <c r="A36" t="s">
        <v>532</v>
      </c>
      <c r="B36" s="2">
        <v>45979</v>
      </c>
      <c r="C36" t="s">
        <v>196</v>
      </c>
      <c r="D36" t="s">
        <v>139</v>
      </c>
      <c r="E36" t="s">
        <v>16</v>
      </c>
      <c r="F36" t="s">
        <v>23</v>
      </c>
      <c r="G36">
        <v>2</v>
      </c>
      <c r="H36">
        <v>21.22</v>
      </c>
      <c r="I36">
        <v>0.05</v>
      </c>
      <c r="J36">
        <v>40.32</v>
      </c>
      <c r="K36">
        <v>31.79</v>
      </c>
      <c r="L36">
        <v>8.5299999999999994</v>
      </c>
      <c r="M36" t="s">
        <v>24</v>
      </c>
      <c r="N36" t="str">
        <f t="shared" si="0"/>
        <v>OK</v>
      </c>
      <c r="O36" s="7" t="str">
        <f t="shared" si="1"/>
        <v>OK</v>
      </c>
    </row>
    <row r="37" spans="1:15">
      <c r="A37" t="s">
        <v>570</v>
      </c>
      <c r="B37" s="2">
        <v>45912</v>
      </c>
      <c r="C37" t="s">
        <v>342</v>
      </c>
      <c r="D37" t="s">
        <v>105</v>
      </c>
      <c r="E37" t="s">
        <v>42</v>
      </c>
      <c r="F37" t="s">
        <v>30</v>
      </c>
      <c r="G37">
        <v>4</v>
      </c>
      <c r="H37">
        <v>10.08</v>
      </c>
      <c r="I37">
        <v>0</v>
      </c>
      <c r="J37">
        <v>40.32</v>
      </c>
      <c r="K37">
        <v>26.49</v>
      </c>
      <c r="L37">
        <v>13.83</v>
      </c>
      <c r="M37" t="s">
        <v>24</v>
      </c>
      <c r="N37" t="str">
        <f t="shared" si="0"/>
        <v>OK</v>
      </c>
      <c r="O37" s="7" t="str">
        <f t="shared" si="1"/>
        <v>OK</v>
      </c>
    </row>
    <row r="38" spans="1:15">
      <c r="A38" t="s">
        <v>615</v>
      </c>
      <c r="B38" s="2">
        <v>45956</v>
      </c>
      <c r="C38" t="s">
        <v>107</v>
      </c>
      <c r="D38" t="s">
        <v>70</v>
      </c>
      <c r="E38" t="s">
        <v>35</v>
      </c>
      <c r="F38" t="s">
        <v>36</v>
      </c>
      <c r="G38">
        <v>4</v>
      </c>
      <c r="H38">
        <v>10.36</v>
      </c>
      <c r="I38">
        <v>0</v>
      </c>
      <c r="J38">
        <v>41.44</v>
      </c>
      <c r="K38">
        <v>25.46</v>
      </c>
      <c r="L38">
        <v>15.98</v>
      </c>
      <c r="M38" t="s">
        <v>31</v>
      </c>
      <c r="N38" t="str">
        <f t="shared" si="0"/>
        <v>OK</v>
      </c>
      <c r="O38" s="7" t="str">
        <f t="shared" si="1"/>
        <v>OK</v>
      </c>
    </row>
    <row r="39" spans="1:15">
      <c r="A39" t="s">
        <v>84</v>
      </c>
      <c r="B39" s="2">
        <v>45801</v>
      </c>
      <c r="C39" t="s">
        <v>85</v>
      </c>
      <c r="D39" t="s">
        <v>21</v>
      </c>
      <c r="E39" t="s">
        <v>22</v>
      </c>
      <c r="F39" t="s">
        <v>23</v>
      </c>
      <c r="G39">
        <v>1</v>
      </c>
      <c r="H39">
        <v>43.96</v>
      </c>
      <c r="I39">
        <v>0.05</v>
      </c>
      <c r="J39">
        <v>41.76</v>
      </c>
      <c r="K39">
        <v>31.68</v>
      </c>
      <c r="L39">
        <v>10.08</v>
      </c>
      <c r="M39" t="s">
        <v>24</v>
      </c>
      <c r="N39" t="str">
        <f t="shared" si="0"/>
        <v>OK</v>
      </c>
      <c r="O39" s="7" t="str">
        <f t="shared" si="1"/>
        <v>OK</v>
      </c>
    </row>
    <row r="40" spans="1:15">
      <c r="A40" t="s">
        <v>209</v>
      </c>
      <c r="B40" s="2">
        <v>45751</v>
      </c>
      <c r="C40" t="s">
        <v>210</v>
      </c>
      <c r="D40" t="s">
        <v>21</v>
      </c>
      <c r="E40" t="s">
        <v>22</v>
      </c>
      <c r="F40" t="s">
        <v>30</v>
      </c>
      <c r="G40">
        <v>5</v>
      </c>
      <c r="H40">
        <v>8.4700000000000006</v>
      </c>
      <c r="I40">
        <v>0</v>
      </c>
      <c r="J40">
        <v>42.35</v>
      </c>
      <c r="K40">
        <v>29.3</v>
      </c>
      <c r="L40">
        <v>13.05</v>
      </c>
      <c r="M40" t="s">
        <v>18</v>
      </c>
      <c r="N40" t="str">
        <f t="shared" si="0"/>
        <v>OK</v>
      </c>
      <c r="O40" s="7" t="str">
        <f t="shared" si="1"/>
        <v>OK</v>
      </c>
    </row>
    <row r="41" spans="1:15">
      <c r="A41" t="s">
        <v>456</v>
      </c>
      <c r="B41" s="2">
        <v>45871</v>
      </c>
      <c r="C41" t="s">
        <v>282</v>
      </c>
      <c r="D41" t="s">
        <v>45</v>
      </c>
      <c r="E41" t="s">
        <v>22</v>
      </c>
      <c r="F41" t="s">
        <v>23</v>
      </c>
      <c r="G41">
        <v>1</v>
      </c>
      <c r="H41">
        <v>42.63</v>
      </c>
      <c r="I41">
        <v>0</v>
      </c>
      <c r="J41">
        <v>42.63</v>
      </c>
      <c r="K41">
        <v>25.55</v>
      </c>
      <c r="L41">
        <v>17.079999999999998</v>
      </c>
      <c r="M41" t="s">
        <v>24</v>
      </c>
      <c r="N41" t="str">
        <f t="shared" si="0"/>
        <v>OK</v>
      </c>
      <c r="O41" s="7" t="str">
        <f t="shared" si="1"/>
        <v>OK</v>
      </c>
    </row>
    <row r="42" spans="1:15">
      <c r="A42" t="s">
        <v>119</v>
      </c>
      <c r="B42" s="2">
        <v>45786</v>
      </c>
      <c r="C42" t="s">
        <v>120</v>
      </c>
      <c r="D42" t="s">
        <v>15</v>
      </c>
      <c r="E42" t="s">
        <v>16</v>
      </c>
      <c r="F42" t="s">
        <v>36</v>
      </c>
      <c r="G42">
        <v>2</v>
      </c>
      <c r="H42">
        <v>21.49</v>
      </c>
      <c r="I42">
        <v>0</v>
      </c>
      <c r="J42">
        <v>42.98</v>
      </c>
      <c r="K42">
        <v>36.049999999999997</v>
      </c>
      <c r="L42">
        <v>6.93</v>
      </c>
      <c r="M42" t="s">
        <v>18</v>
      </c>
      <c r="N42" t="str">
        <f t="shared" si="0"/>
        <v>OK</v>
      </c>
      <c r="O42" s="7" t="str">
        <f t="shared" si="1"/>
        <v>OK</v>
      </c>
    </row>
    <row r="43" spans="1:15">
      <c r="A43" t="s">
        <v>651</v>
      </c>
      <c r="B43" s="2">
        <v>45830</v>
      </c>
      <c r="C43" t="s">
        <v>472</v>
      </c>
      <c r="D43" t="s">
        <v>41</v>
      </c>
      <c r="E43" t="s">
        <v>42</v>
      </c>
      <c r="F43" t="s">
        <v>30</v>
      </c>
      <c r="G43">
        <v>1</v>
      </c>
      <c r="H43">
        <v>53.42</v>
      </c>
      <c r="I43">
        <v>0.15</v>
      </c>
      <c r="J43">
        <v>45.41</v>
      </c>
      <c r="K43">
        <v>33.64</v>
      </c>
      <c r="L43">
        <v>11.77</v>
      </c>
      <c r="M43" t="s">
        <v>18</v>
      </c>
      <c r="N43" t="str">
        <f t="shared" si="0"/>
        <v>OK</v>
      </c>
      <c r="O43" s="7" t="str">
        <f t="shared" si="1"/>
        <v>OK</v>
      </c>
    </row>
    <row r="44" spans="1:15">
      <c r="A44" t="s">
        <v>346</v>
      </c>
      <c r="B44" s="2">
        <v>45956</v>
      </c>
      <c r="C44" t="s">
        <v>347</v>
      </c>
      <c r="D44" t="s">
        <v>70</v>
      </c>
      <c r="E44" t="s">
        <v>35</v>
      </c>
      <c r="F44" t="s">
        <v>36</v>
      </c>
      <c r="G44">
        <v>3</v>
      </c>
      <c r="H44">
        <v>15.15</v>
      </c>
      <c r="I44">
        <v>0</v>
      </c>
      <c r="J44">
        <v>45.45</v>
      </c>
      <c r="K44">
        <v>38.450000000000003</v>
      </c>
      <c r="L44">
        <v>7</v>
      </c>
      <c r="M44" t="s">
        <v>18</v>
      </c>
      <c r="N44" t="str">
        <f t="shared" si="0"/>
        <v>OK</v>
      </c>
      <c r="O44" s="7" t="str">
        <f t="shared" si="1"/>
        <v>OK</v>
      </c>
    </row>
    <row r="45" spans="1:15">
      <c r="A45" t="s">
        <v>534</v>
      </c>
      <c r="B45" s="2">
        <v>45970</v>
      </c>
      <c r="C45" t="s">
        <v>535</v>
      </c>
      <c r="D45" t="s">
        <v>70</v>
      </c>
      <c r="E45" t="s">
        <v>35</v>
      </c>
      <c r="F45" t="s">
        <v>36</v>
      </c>
      <c r="G45">
        <v>1</v>
      </c>
      <c r="H45">
        <v>45.72</v>
      </c>
      <c r="I45">
        <v>0</v>
      </c>
      <c r="J45">
        <v>45.72</v>
      </c>
      <c r="K45">
        <v>28.09</v>
      </c>
      <c r="L45">
        <v>17.63</v>
      </c>
      <c r="M45" t="s">
        <v>18</v>
      </c>
      <c r="N45" t="str">
        <f t="shared" si="0"/>
        <v>OK</v>
      </c>
      <c r="O45" s="7" t="str">
        <f t="shared" si="1"/>
        <v>OK</v>
      </c>
    </row>
    <row r="46" spans="1:15">
      <c r="A46" t="s">
        <v>136</v>
      </c>
      <c r="B46" s="2">
        <v>45874</v>
      </c>
      <c r="C46" t="s">
        <v>63</v>
      </c>
      <c r="D46" t="s">
        <v>34</v>
      </c>
      <c r="E46" t="s">
        <v>35</v>
      </c>
      <c r="F46" t="s">
        <v>30</v>
      </c>
      <c r="G46">
        <v>1</v>
      </c>
      <c r="H46">
        <v>48.98</v>
      </c>
      <c r="I46">
        <v>0.05</v>
      </c>
      <c r="J46">
        <v>46.53</v>
      </c>
      <c r="K46">
        <v>33.049999999999997</v>
      </c>
      <c r="L46">
        <v>13.48</v>
      </c>
      <c r="M46" t="s">
        <v>24</v>
      </c>
      <c r="N46" t="str">
        <f t="shared" si="0"/>
        <v>OK</v>
      </c>
      <c r="O46" s="7" t="str">
        <f t="shared" si="1"/>
        <v>OK</v>
      </c>
    </row>
    <row r="47" spans="1:15">
      <c r="A47" t="s">
        <v>51</v>
      </c>
      <c r="B47" s="2">
        <v>45690</v>
      </c>
      <c r="C47" t="s">
        <v>52</v>
      </c>
      <c r="D47" t="s">
        <v>53</v>
      </c>
      <c r="E47" t="s">
        <v>42</v>
      </c>
      <c r="F47" t="s">
        <v>17</v>
      </c>
      <c r="G47">
        <v>2</v>
      </c>
      <c r="H47">
        <v>27.93</v>
      </c>
      <c r="I47">
        <v>0.15</v>
      </c>
      <c r="J47">
        <v>47.48</v>
      </c>
      <c r="K47">
        <v>34.99</v>
      </c>
      <c r="L47">
        <v>12.49</v>
      </c>
      <c r="M47" t="s">
        <v>18</v>
      </c>
      <c r="N47" t="str">
        <f t="shared" si="0"/>
        <v>OK</v>
      </c>
      <c r="O47" s="7" t="str">
        <f t="shared" si="1"/>
        <v>OK</v>
      </c>
    </row>
    <row r="48" spans="1:15">
      <c r="A48" t="s">
        <v>589</v>
      </c>
      <c r="B48" s="2">
        <v>45981</v>
      </c>
      <c r="C48" t="s">
        <v>52</v>
      </c>
      <c r="D48" t="s">
        <v>53</v>
      </c>
      <c r="E48" t="s">
        <v>42</v>
      </c>
      <c r="F48" t="s">
        <v>23</v>
      </c>
      <c r="G48">
        <v>1</v>
      </c>
      <c r="H48">
        <v>54.24</v>
      </c>
      <c r="I48">
        <v>0.1</v>
      </c>
      <c r="J48">
        <v>48.82</v>
      </c>
      <c r="K48">
        <v>33.909999999999997</v>
      </c>
      <c r="L48">
        <v>14.91</v>
      </c>
      <c r="M48" t="s">
        <v>18</v>
      </c>
      <c r="N48" t="str">
        <f t="shared" si="0"/>
        <v>OK</v>
      </c>
      <c r="O48" s="7" t="str">
        <f t="shared" si="1"/>
        <v>OK</v>
      </c>
    </row>
    <row r="49" spans="1:16">
      <c r="A49" t="s">
        <v>482</v>
      </c>
      <c r="B49" s="2">
        <v>45799</v>
      </c>
      <c r="C49" t="s">
        <v>33</v>
      </c>
      <c r="D49" t="s">
        <v>48</v>
      </c>
      <c r="E49" t="s">
        <v>35</v>
      </c>
      <c r="F49" t="s">
        <v>17</v>
      </c>
      <c r="G49">
        <v>1</v>
      </c>
      <c r="H49">
        <v>49.61</v>
      </c>
      <c r="I49">
        <v>0</v>
      </c>
      <c r="J49">
        <v>49.61</v>
      </c>
      <c r="K49">
        <v>34.26</v>
      </c>
      <c r="L49">
        <v>15.35</v>
      </c>
      <c r="M49" t="s">
        <v>18</v>
      </c>
      <c r="N49" t="str">
        <f t="shared" si="0"/>
        <v>OK</v>
      </c>
      <c r="O49" s="7" t="str">
        <f t="shared" si="1"/>
        <v>OK</v>
      </c>
    </row>
    <row r="50" spans="1:16">
      <c r="A50" t="s">
        <v>422</v>
      </c>
      <c r="B50" s="2">
        <v>45783</v>
      </c>
      <c r="C50" t="s">
        <v>377</v>
      </c>
      <c r="D50" t="s">
        <v>139</v>
      </c>
      <c r="E50" t="s">
        <v>16</v>
      </c>
      <c r="F50" t="s">
        <v>36</v>
      </c>
      <c r="G50">
        <v>1</v>
      </c>
      <c r="H50">
        <v>52.45</v>
      </c>
      <c r="I50">
        <v>0.05</v>
      </c>
      <c r="J50">
        <v>49.83</v>
      </c>
      <c r="K50">
        <v>36.92</v>
      </c>
      <c r="L50">
        <v>12.91</v>
      </c>
      <c r="M50" t="s">
        <v>31</v>
      </c>
      <c r="N50" t="str">
        <f t="shared" si="0"/>
        <v>OK</v>
      </c>
      <c r="O50" s="7" t="str">
        <f t="shared" si="1"/>
        <v>OK</v>
      </c>
    </row>
    <row r="51" spans="1:16">
      <c r="A51" t="s">
        <v>592</v>
      </c>
      <c r="B51" s="2">
        <v>45965</v>
      </c>
      <c r="C51" t="s">
        <v>359</v>
      </c>
      <c r="D51" t="s">
        <v>110</v>
      </c>
      <c r="E51" t="s">
        <v>35</v>
      </c>
      <c r="F51" t="s">
        <v>30</v>
      </c>
      <c r="G51">
        <v>3</v>
      </c>
      <c r="H51">
        <v>16.93</v>
      </c>
      <c r="I51">
        <v>0</v>
      </c>
      <c r="J51">
        <v>50.79</v>
      </c>
      <c r="K51">
        <v>31.19</v>
      </c>
      <c r="L51">
        <v>19.600000000000001</v>
      </c>
      <c r="M51" t="s">
        <v>24</v>
      </c>
      <c r="N51" t="str">
        <f t="shared" si="0"/>
        <v>OK</v>
      </c>
      <c r="O51" s="7" t="str">
        <f t="shared" si="1"/>
        <v>OK</v>
      </c>
    </row>
    <row r="52" spans="1:16">
      <c r="A52" t="s">
        <v>669</v>
      </c>
      <c r="B52" s="2">
        <v>45773</v>
      </c>
      <c r="C52" t="s">
        <v>383</v>
      </c>
      <c r="D52" t="s">
        <v>56</v>
      </c>
      <c r="E52" t="s">
        <v>16</v>
      </c>
      <c r="F52" t="s">
        <v>36</v>
      </c>
      <c r="G52">
        <v>4</v>
      </c>
      <c r="H52">
        <v>13.46</v>
      </c>
      <c r="I52">
        <v>0.05</v>
      </c>
      <c r="J52">
        <v>51.15</v>
      </c>
      <c r="K52">
        <v>29.43</v>
      </c>
      <c r="L52">
        <v>21.72</v>
      </c>
      <c r="M52" t="s">
        <v>24</v>
      </c>
      <c r="N52" t="str">
        <f t="shared" si="0"/>
        <v>OK</v>
      </c>
      <c r="O52" s="7" t="str">
        <f t="shared" si="1"/>
        <v>OK</v>
      </c>
    </row>
    <row r="53" spans="1:16">
      <c r="A53" t="s">
        <v>481</v>
      </c>
      <c r="B53" s="2">
        <v>45777</v>
      </c>
      <c r="C53" t="s">
        <v>147</v>
      </c>
      <c r="D53" t="s">
        <v>34</v>
      </c>
      <c r="E53" t="s">
        <v>35</v>
      </c>
      <c r="F53" t="s">
        <v>30</v>
      </c>
      <c r="G53">
        <v>1</v>
      </c>
      <c r="H53">
        <v>60.42</v>
      </c>
      <c r="I53">
        <v>0.15</v>
      </c>
      <c r="J53">
        <v>51.36</v>
      </c>
      <c r="K53">
        <v>32.590000000000003</v>
      </c>
      <c r="L53">
        <v>18.77</v>
      </c>
      <c r="M53" t="s">
        <v>24</v>
      </c>
      <c r="N53" t="str">
        <f t="shared" si="0"/>
        <v>OK</v>
      </c>
      <c r="O53" s="7" t="str">
        <f t="shared" si="1"/>
        <v>OK</v>
      </c>
      <c r="P53" t="s">
        <v>724</v>
      </c>
    </row>
    <row r="54" spans="1:16">
      <c r="A54" t="s">
        <v>403</v>
      </c>
      <c r="B54" s="2">
        <v>45664</v>
      </c>
      <c r="C54" t="s">
        <v>218</v>
      </c>
      <c r="D54" t="s">
        <v>77</v>
      </c>
      <c r="E54" t="s">
        <v>22</v>
      </c>
      <c r="F54" t="s">
        <v>23</v>
      </c>
      <c r="G54">
        <v>2</v>
      </c>
      <c r="H54">
        <v>30.48</v>
      </c>
      <c r="I54">
        <v>0.15</v>
      </c>
      <c r="J54">
        <v>51.82</v>
      </c>
      <c r="K54">
        <v>35.49</v>
      </c>
      <c r="L54">
        <v>16.329999999999998</v>
      </c>
      <c r="M54" t="s">
        <v>31</v>
      </c>
      <c r="N54" t="str">
        <f t="shared" si="0"/>
        <v>OK</v>
      </c>
      <c r="O54" s="7" t="str">
        <f t="shared" si="1"/>
        <v>OK</v>
      </c>
    </row>
    <row r="55" spans="1:16">
      <c r="A55" t="s">
        <v>239</v>
      </c>
      <c r="B55" s="2">
        <v>45770</v>
      </c>
      <c r="C55" t="s">
        <v>240</v>
      </c>
      <c r="D55" t="s">
        <v>61</v>
      </c>
      <c r="E55" t="s">
        <v>42</v>
      </c>
      <c r="F55" t="s">
        <v>36</v>
      </c>
      <c r="G55">
        <v>3</v>
      </c>
      <c r="H55">
        <v>19.3</v>
      </c>
      <c r="I55">
        <v>0.1</v>
      </c>
      <c r="J55">
        <v>52.11</v>
      </c>
      <c r="K55">
        <v>35.75</v>
      </c>
      <c r="L55">
        <v>16.36</v>
      </c>
      <c r="M55" t="s">
        <v>18</v>
      </c>
      <c r="N55" t="str">
        <f t="shared" si="0"/>
        <v>OK</v>
      </c>
      <c r="O55" s="7" t="str">
        <f t="shared" si="1"/>
        <v>OK</v>
      </c>
    </row>
    <row r="56" spans="1:16">
      <c r="A56" t="s">
        <v>604</v>
      </c>
      <c r="B56" s="2">
        <v>45876</v>
      </c>
      <c r="C56" t="s">
        <v>280</v>
      </c>
      <c r="D56" t="s">
        <v>110</v>
      </c>
      <c r="E56" t="s">
        <v>35</v>
      </c>
      <c r="F56" t="s">
        <v>23</v>
      </c>
      <c r="G56">
        <v>2</v>
      </c>
      <c r="H56">
        <v>27.49</v>
      </c>
      <c r="I56">
        <v>0.05</v>
      </c>
      <c r="J56">
        <v>52.23</v>
      </c>
      <c r="K56">
        <v>40.29</v>
      </c>
      <c r="L56">
        <v>11.94</v>
      </c>
      <c r="M56" t="s">
        <v>18</v>
      </c>
      <c r="N56" t="str">
        <f t="shared" si="0"/>
        <v>OK</v>
      </c>
      <c r="O56" s="7" t="str">
        <f t="shared" si="1"/>
        <v>OK</v>
      </c>
    </row>
    <row r="57" spans="1:16">
      <c r="A57" t="s">
        <v>520</v>
      </c>
      <c r="B57" s="2">
        <v>45841</v>
      </c>
      <c r="C57" t="s">
        <v>204</v>
      </c>
      <c r="D57" t="s">
        <v>105</v>
      </c>
      <c r="E57" t="s">
        <v>42</v>
      </c>
      <c r="F57" t="s">
        <v>30</v>
      </c>
      <c r="G57">
        <v>4</v>
      </c>
      <c r="H57">
        <v>14.53</v>
      </c>
      <c r="I57">
        <v>0.1</v>
      </c>
      <c r="J57">
        <v>52.31</v>
      </c>
      <c r="K57">
        <v>37.39</v>
      </c>
      <c r="L57">
        <v>14.92</v>
      </c>
      <c r="M57" t="s">
        <v>31</v>
      </c>
      <c r="N57" t="str">
        <f t="shared" si="0"/>
        <v>OK</v>
      </c>
      <c r="O57" s="7" t="str">
        <f t="shared" si="1"/>
        <v>OK</v>
      </c>
    </row>
    <row r="58" spans="1:16">
      <c r="A58" t="s">
        <v>681</v>
      </c>
      <c r="B58" s="2">
        <v>46022</v>
      </c>
      <c r="C58" t="s">
        <v>682</v>
      </c>
      <c r="D58" t="s">
        <v>15</v>
      </c>
      <c r="E58" t="s">
        <v>16</v>
      </c>
      <c r="F58" t="s">
        <v>30</v>
      </c>
      <c r="G58">
        <v>2</v>
      </c>
      <c r="H58">
        <v>29.2</v>
      </c>
      <c r="I58">
        <v>0.1</v>
      </c>
      <c r="J58">
        <v>52.56</v>
      </c>
      <c r="K58">
        <v>35.47</v>
      </c>
      <c r="L58">
        <v>17.09</v>
      </c>
      <c r="M58" t="s">
        <v>31</v>
      </c>
      <c r="N58" t="str">
        <f t="shared" si="0"/>
        <v>OK</v>
      </c>
      <c r="O58" s="7" t="str">
        <f t="shared" si="1"/>
        <v>OK</v>
      </c>
    </row>
    <row r="59" spans="1:16">
      <c r="A59" t="s">
        <v>706</v>
      </c>
      <c r="B59" s="2">
        <v>45701</v>
      </c>
      <c r="C59" t="s">
        <v>166</v>
      </c>
      <c r="D59" t="s">
        <v>56</v>
      </c>
      <c r="E59" t="s">
        <v>16</v>
      </c>
      <c r="F59" t="s">
        <v>17</v>
      </c>
      <c r="G59">
        <v>3</v>
      </c>
      <c r="H59">
        <v>17.559999999999999</v>
      </c>
      <c r="I59">
        <v>0</v>
      </c>
      <c r="J59">
        <v>52.68</v>
      </c>
      <c r="K59">
        <v>32.33</v>
      </c>
      <c r="L59">
        <v>20.350000000000001</v>
      </c>
      <c r="M59" t="s">
        <v>31</v>
      </c>
      <c r="N59" t="str">
        <f t="shared" si="0"/>
        <v>OK</v>
      </c>
      <c r="O59" s="7" t="str">
        <f t="shared" si="1"/>
        <v>OK</v>
      </c>
    </row>
    <row r="60" spans="1:16">
      <c r="A60" s="4" t="s">
        <v>415</v>
      </c>
      <c r="B60" s="5">
        <v>45706</v>
      </c>
      <c r="C60" s="4" t="s">
        <v>109</v>
      </c>
      <c r="D60" s="4" t="s">
        <v>29</v>
      </c>
      <c r="E60" s="4" t="s">
        <v>22</v>
      </c>
      <c r="F60" s="4" t="s">
        <v>36</v>
      </c>
      <c r="G60" s="4">
        <v>1</v>
      </c>
      <c r="H60" s="4">
        <v>58.82</v>
      </c>
      <c r="I60" s="4">
        <v>0.1</v>
      </c>
      <c r="J60" s="4">
        <v>52.94</v>
      </c>
      <c r="K60" s="4">
        <v>39.04</v>
      </c>
      <c r="L60" s="4">
        <v>13.9</v>
      </c>
      <c r="M60" s="4" t="s">
        <v>18</v>
      </c>
      <c r="N60" s="4" t="str">
        <f t="shared" si="0"/>
        <v>OK</v>
      </c>
      <c r="O60" s="8" t="str">
        <f t="shared" si="1"/>
        <v>OK</v>
      </c>
    </row>
    <row r="61" spans="1:16">
      <c r="A61" t="s">
        <v>415</v>
      </c>
      <c r="B61" s="2">
        <v>45706</v>
      </c>
      <c r="C61" t="s">
        <v>109</v>
      </c>
      <c r="D61" t="s">
        <v>29</v>
      </c>
      <c r="E61" t="s">
        <v>22</v>
      </c>
      <c r="F61" t="s">
        <v>36</v>
      </c>
      <c r="G61">
        <v>1</v>
      </c>
      <c r="H61">
        <v>58.82</v>
      </c>
      <c r="I61">
        <v>0.1</v>
      </c>
      <c r="J61">
        <v>52.94</v>
      </c>
      <c r="K61">
        <v>39.04</v>
      </c>
      <c r="L61">
        <v>13.9</v>
      </c>
      <c r="M61" t="s">
        <v>18</v>
      </c>
      <c r="N61" t="str">
        <f t="shared" si="0"/>
        <v>OK</v>
      </c>
      <c r="O61" s="7" t="str">
        <f t="shared" si="1"/>
        <v>OK</v>
      </c>
    </row>
    <row r="62" spans="1:16">
      <c r="A62" t="s">
        <v>162</v>
      </c>
      <c r="B62" s="2">
        <v>45703</v>
      </c>
      <c r="C62" t="s">
        <v>131</v>
      </c>
      <c r="D62" t="s">
        <v>45</v>
      </c>
      <c r="E62" t="s">
        <v>22</v>
      </c>
      <c r="F62" t="s">
        <v>30</v>
      </c>
      <c r="G62">
        <v>1</v>
      </c>
      <c r="H62">
        <v>56.12</v>
      </c>
      <c r="I62">
        <v>0.05</v>
      </c>
      <c r="J62">
        <v>53.31</v>
      </c>
      <c r="K62">
        <v>38.96</v>
      </c>
      <c r="L62">
        <v>14.35</v>
      </c>
      <c r="M62" t="s">
        <v>31</v>
      </c>
      <c r="N62" t="str">
        <f t="shared" si="0"/>
        <v>OK</v>
      </c>
      <c r="O62" s="7" t="str">
        <f t="shared" si="1"/>
        <v>OK</v>
      </c>
    </row>
    <row r="63" spans="1:16">
      <c r="A63" t="s">
        <v>699</v>
      </c>
      <c r="B63" s="2">
        <v>45772</v>
      </c>
      <c r="C63" t="s">
        <v>112</v>
      </c>
      <c r="D63" t="s">
        <v>45</v>
      </c>
      <c r="E63" t="s">
        <v>22</v>
      </c>
      <c r="F63" t="s">
        <v>23</v>
      </c>
      <c r="G63">
        <v>1</v>
      </c>
      <c r="H63">
        <v>56.64</v>
      </c>
      <c r="I63">
        <v>0.05</v>
      </c>
      <c r="J63">
        <v>53.81</v>
      </c>
      <c r="K63">
        <v>34.32</v>
      </c>
      <c r="L63">
        <v>19.489999999999998</v>
      </c>
      <c r="M63" t="s">
        <v>31</v>
      </c>
      <c r="N63" t="str">
        <f t="shared" si="0"/>
        <v>OK</v>
      </c>
      <c r="O63" s="7" t="str">
        <f t="shared" si="1"/>
        <v>OK</v>
      </c>
    </row>
    <row r="64" spans="1:16">
      <c r="A64" t="s">
        <v>665</v>
      </c>
      <c r="B64" s="2">
        <v>45769</v>
      </c>
      <c r="C64" t="s">
        <v>371</v>
      </c>
      <c r="D64" t="s">
        <v>21</v>
      </c>
      <c r="E64" t="s">
        <v>22</v>
      </c>
      <c r="F64" t="s">
        <v>17</v>
      </c>
      <c r="G64">
        <v>4</v>
      </c>
      <c r="H64">
        <v>15.28</v>
      </c>
      <c r="I64">
        <v>0.1</v>
      </c>
      <c r="J64">
        <v>55.01</v>
      </c>
      <c r="K64">
        <v>37.729999999999997</v>
      </c>
      <c r="L64">
        <v>17.28</v>
      </c>
      <c r="M64" t="s">
        <v>18</v>
      </c>
      <c r="N64" t="str">
        <f t="shared" si="0"/>
        <v>OK</v>
      </c>
      <c r="O64" s="7" t="str">
        <f t="shared" si="1"/>
        <v>OK</v>
      </c>
    </row>
    <row r="65" spans="1:15">
      <c r="A65" t="s">
        <v>66</v>
      </c>
      <c r="B65" s="2">
        <v>45940</v>
      </c>
      <c r="C65" t="s">
        <v>67</v>
      </c>
      <c r="D65" t="s">
        <v>53</v>
      </c>
      <c r="E65" t="s">
        <v>42</v>
      </c>
      <c r="F65" t="s">
        <v>23</v>
      </c>
      <c r="G65">
        <v>2</v>
      </c>
      <c r="H65">
        <v>29</v>
      </c>
      <c r="I65">
        <v>0.05</v>
      </c>
      <c r="J65">
        <v>55.1</v>
      </c>
      <c r="K65">
        <v>45.29</v>
      </c>
      <c r="L65">
        <v>9.81</v>
      </c>
      <c r="M65" t="s">
        <v>18</v>
      </c>
      <c r="N65" t="str">
        <f t="shared" si="0"/>
        <v>OK</v>
      </c>
      <c r="O65" s="7" t="str">
        <f t="shared" si="1"/>
        <v>OK</v>
      </c>
    </row>
    <row r="66" spans="1:15">
      <c r="A66" t="s">
        <v>447</v>
      </c>
      <c r="B66" s="2">
        <v>45678</v>
      </c>
      <c r="C66" t="s">
        <v>448</v>
      </c>
      <c r="D66" t="s">
        <v>70</v>
      </c>
      <c r="E66" t="s">
        <v>35</v>
      </c>
      <c r="F66" t="s">
        <v>30</v>
      </c>
      <c r="G66">
        <v>4</v>
      </c>
      <c r="H66">
        <v>13.78</v>
      </c>
      <c r="I66">
        <v>0</v>
      </c>
      <c r="J66">
        <v>55.12</v>
      </c>
      <c r="K66">
        <v>45.3</v>
      </c>
      <c r="L66">
        <v>9.82</v>
      </c>
      <c r="M66" t="s">
        <v>18</v>
      </c>
      <c r="N66" t="str">
        <f>IF(ABS(ROUND(G66*H66*(1-I66),2)-J66)&lt;=0.01,"OK","Mismatch")</f>
        <v>OK</v>
      </c>
      <c r="O66" s="7" t="str">
        <f t="shared" ref="O66:O129" si="2">IF(ROUND(J66-K66,2)=ROUND(L66,2),"OK","Mismatch")</f>
        <v>OK</v>
      </c>
    </row>
    <row r="67" spans="1:15">
      <c r="A67" t="s">
        <v>424</v>
      </c>
      <c r="B67" s="2">
        <v>45745</v>
      </c>
      <c r="C67" t="s">
        <v>425</v>
      </c>
      <c r="D67" t="s">
        <v>110</v>
      </c>
      <c r="E67" t="s">
        <v>35</v>
      </c>
      <c r="F67" t="s">
        <v>30</v>
      </c>
      <c r="G67">
        <v>2</v>
      </c>
      <c r="H67">
        <v>30.66</v>
      </c>
      <c r="I67">
        <v>0.1</v>
      </c>
      <c r="J67">
        <v>55.19</v>
      </c>
      <c r="K67">
        <v>43.89</v>
      </c>
      <c r="L67">
        <v>11.3</v>
      </c>
      <c r="M67" t="s">
        <v>18</v>
      </c>
      <c r="N67" t="str">
        <f>IF(ABS((G2*H2*(1-I2))-J2)&lt;0.02,"OK","Mismatch")</f>
        <v>OK</v>
      </c>
      <c r="O67" s="7" t="str">
        <f t="shared" si="2"/>
        <v>OK</v>
      </c>
    </row>
    <row r="68" spans="1:15">
      <c r="A68" t="s">
        <v>554</v>
      </c>
      <c r="B68" s="2">
        <v>45843</v>
      </c>
      <c r="C68" t="s">
        <v>312</v>
      </c>
      <c r="D68" t="s">
        <v>41</v>
      </c>
      <c r="E68" t="s">
        <v>42</v>
      </c>
      <c r="F68" t="s">
        <v>36</v>
      </c>
      <c r="G68">
        <v>1</v>
      </c>
      <c r="H68">
        <v>61.64</v>
      </c>
      <c r="I68">
        <v>0.1</v>
      </c>
      <c r="J68">
        <v>55.48</v>
      </c>
      <c r="K68">
        <v>43.38</v>
      </c>
      <c r="L68">
        <v>12.1</v>
      </c>
      <c r="M68" t="s">
        <v>24</v>
      </c>
      <c r="N68" t="str">
        <f t="shared" ref="N68:N99" si="3">IF(ABS(ROUND(G68*H68*(1-I68),2)-J68)&lt;=0.01,"OK","Mismatch")</f>
        <v>OK</v>
      </c>
      <c r="O68" s="7" t="str">
        <f t="shared" si="2"/>
        <v>OK</v>
      </c>
    </row>
    <row r="69" spans="1:15">
      <c r="A69" t="s">
        <v>538</v>
      </c>
      <c r="B69" s="2">
        <v>45706</v>
      </c>
      <c r="C69" t="s">
        <v>202</v>
      </c>
      <c r="D69" t="s">
        <v>45</v>
      </c>
      <c r="E69" t="s">
        <v>22</v>
      </c>
      <c r="F69" t="s">
        <v>30</v>
      </c>
      <c r="G69">
        <v>2</v>
      </c>
      <c r="H69">
        <v>31.02</v>
      </c>
      <c r="I69">
        <v>0.1</v>
      </c>
      <c r="J69">
        <v>55.84</v>
      </c>
      <c r="K69">
        <v>31.62</v>
      </c>
      <c r="L69">
        <v>24.22</v>
      </c>
      <c r="M69" t="s">
        <v>24</v>
      </c>
      <c r="N69" t="str">
        <f t="shared" si="3"/>
        <v>OK</v>
      </c>
      <c r="O69" s="7" t="str">
        <f t="shared" si="2"/>
        <v>OK</v>
      </c>
    </row>
    <row r="70" spans="1:15">
      <c r="A70" t="s">
        <v>507</v>
      </c>
      <c r="B70" s="2">
        <v>45814</v>
      </c>
      <c r="C70" t="s">
        <v>90</v>
      </c>
      <c r="D70" t="s">
        <v>21</v>
      </c>
      <c r="E70" t="s">
        <v>22</v>
      </c>
      <c r="F70" t="s">
        <v>23</v>
      </c>
      <c r="G70">
        <v>4</v>
      </c>
      <c r="H70">
        <v>15.7</v>
      </c>
      <c r="I70">
        <v>0.1</v>
      </c>
      <c r="J70">
        <v>56.52</v>
      </c>
      <c r="K70">
        <v>47.14</v>
      </c>
      <c r="L70">
        <v>9.3800000000000008</v>
      </c>
      <c r="M70" t="s">
        <v>18</v>
      </c>
      <c r="N70" t="str">
        <f t="shared" si="3"/>
        <v>OK</v>
      </c>
      <c r="O70" s="7" t="str">
        <f t="shared" si="2"/>
        <v>OK</v>
      </c>
    </row>
    <row r="71" spans="1:15">
      <c r="A71" t="s">
        <v>25</v>
      </c>
      <c r="B71" s="2">
        <v>45716</v>
      </c>
      <c r="C71" t="s">
        <v>26</v>
      </c>
      <c r="D71" t="s">
        <v>21</v>
      </c>
      <c r="E71" t="s">
        <v>22</v>
      </c>
      <c r="F71" t="s">
        <v>23</v>
      </c>
      <c r="G71">
        <v>1</v>
      </c>
      <c r="H71">
        <v>60.33</v>
      </c>
      <c r="I71">
        <v>0.05</v>
      </c>
      <c r="J71">
        <v>57.31</v>
      </c>
      <c r="K71">
        <v>38.950000000000003</v>
      </c>
      <c r="L71">
        <v>18.36</v>
      </c>
      <c r="M71" t="s">
        <v>18</v>
      </c>
      <c r="N71" t="str">
        <f t="shared" si="3"/>
        <v>OK</v>
      </c>
      <c r="O71" s="7" t="str">
        <f t="shared" si="2"/>
        <v>OK</v>
      </c>
    </row>
    <row r="72" spans="1:15">
      <c r="A72" t="s">
        <v>217</v>
      </c>
      <c r="B72" s="2">
        <v>45888</v>
      </c>
      <c r="C72" t="s">
        <v>218</v>
      </c>
      <c r="D72" t="s">
        <v>139</v>
      </c>
      <c r="E72" t="s">
        <v>16</v>
      </c>
      <c r="F72" t="s">
        <v>23</v>
      </c>
      <c r="G72">
        <v>2</v>
      </c>
      <c r="H72">
        <v>31.95</v>
      </c>
      <c r="I72">
        <v>0.1</v>
      </c>
      <c r="J72">
        <v>57.51</v>
      </c>
      <c r="K72">
        <v>42.33</v>
      </c>
      <c r="L72">
        <v>15.18</v>
      </c>
      <c r="M72" t="s">
        <v>24</v>
      </c>
      <c r="N72" t="str">
        <f t="shared" si="3"/>
        <v>OK</v>
      </c>
      <c r="O72" s="7" t="str">
        <f t="shared" si="2"/>
        <v>OK</v>
      </c>
    </row>
    <row r="73" spans="1:15">
      <c r="A73" t="s">
        <v>357</v>
      </c>
      <c r="B73" s="2">
        <v>45973</v>
      </c>
      <c r="C73" t="s">
        <v>275</v>
      </c>
      <c r="D73" t="s">
        <v>88</v>
      </c>
      <c r="E73" t="s">
        <v>16</v>
      </c>
      <c r="F73" t="s">
        <v>30</v>
      </c>
      <c r="G73">
        <v>1</v>
      </c>
      <c r="H73">
        <v>64.48</v>
      </c>
      <c r="I73">
        <v>0.1</v>
      </c>
      <c r="J73">
        <v>58.03</v>
      </c>
      <c r="K73">
        <v>42.53</v>
      </c>
      <c r="L73">
        <v>15.5</v>
      </c>
      <c r="M73" t="s">
        <v>31</v>
      </c>
      <c r="N73" t="str">
        <f t="shared" si="3"/>
        <v>OK</v>
      </c>
      <c r="O73" s="7" t="str">
        <f t="shared" si="2"/>
        <v>OK</v>
      </c>
    </row>
    <row r="74" spans="1:15">
      <c r="A74" t="s">
        <v>529</v>
      </c>
      <c r="B74" s="2">
        <v>45889</v>
      </c>
      <c r="C74" t="s">
        <v>377</v>
      </c>
      <c r="D74" t="s">
        <v>139</v>
      </c>
      <c r="E74" t="s">
        <v>16</v>
      </c>
      <c r="F74" t="s">
        <v>30</v>
      </c>
      <c r="G74">
        <v>1</v>
      </c>
      <c r="H74">
        <v>66.790000000000006</v>
      </c>
      <c r="I74">
        <v>0.1</v>
      </c>
      <c r="J74">
        <v>60.11</v>
      </c>
      <c r="K74">
        <v>34.31</v>
      </c>
      <c r="L74">
        <v>25.8</v>
      </c>
      <c r="M74" t="s">
        <v>31</v>
      </c>
      <c r="N74" t="str">
        <f t="shared" si="3"/>
        <v>OK</v>
      </c>
      <c r="O74" s="7" t="str">
        <f t="shared" si="2"/>
        <v>OK</v>
      </c>
    </row>
    <row r="75" spans="1:15">
      <c r="A75" t="s">
        <v>345</v>
      </c>
      <c r="B75" s="2">
        <v>45902</v>
      </c>
      <c r="C75" t="s">
        <v>297</v>
      </c>
      <c r="D75" t="s">
        <v>88</v>
      </c>
      <c r="E75" t="s">
        <v>16</v>
      </c>
      <c r="F75" t="s">
        <v>30</v>
      </c>
      <c r="G75">
        <v>4</v>
      </c>
      <c r="H75">
        <v>16.89</v>
      </c>
      <c r="I75">
        <v>0.1</v>
      </c>
      <c r="J75">
        <v>60.8</v>
      </c>
      <c r="K75">
        <v>37.54</v>
      </c>
      <c r="L75">
        <v>23.26</v>
      </c>
      <c r="M75" t="s">
        <v>31</v>
      </c>
      <c r="N75" t="str">
        <f t="shared" si="3"/>
        <v>OK</v>
      </c>
      <c r="O75" s="7" t="str">
        <f t="shared" si="2"/>
        <v>OK</v>
      </c>
    </row>
    <row r="76" spans="1:15">
      <c r="A76" t="s">
        <v>87</v>
      </c>
      <c r="B76" s="2">
        <v>45773</v>
      </c>
      <c r="C76" t="s">
        <v>14</v>
      </c>
      <c r="D76" t="s">
        <v>88</v>
      </c>
      <c r="E76" t="s">
        <v>16</v>
      </c>
      <c r="F76" t="s">
        <v>30</v>
      </c>
      <c r="G76">
        <v>1</v>
      </c>
      <c r="H76">
        <v>68.06</v>
      </c>
      <c r="I76">
        <v>0.1</v>
      </c>
      <c r="J76">
        <v>61.25</v>
      </c>
      <c r="K76">
        <v>50.17</v>
      </c>
      <c r="L76">
        <v>11.08</v>
      </c>
      <c r="M76" t="s">
        <v>18</v>
      </c>
      <c r="N76" t="str">
        <f t="shared" si="3"/>
        <v>OK</v>
      </c>
      <c r="O76" s="7" t="str">
        <f t="shared" si="2"/>
        <v>OK</v>
      </c>
    </row>
    <row r="77" spans="1:15">
      <c r="A77" t="s">
        <v>219</v>
      </c>
      <c r="B77" s="2">
        <v>45743</v>
      </c>
      <c r="C77" t="s">
        <v>220</v>
      </c>
      <c r="D77" t="s">
        <v>110</v>
      </c>
      <c r="E77" t="s">
        <v>35</v>
      </c>
      <c r="F77" t="s">
        <v>36</v>
      </c>
      <c r="G77">
        <v>1</v>
      </c>
      <c r="H77">
        <v>61.62</v>
      </c>
      <c r="I77">
        <v>0</v>
      </c>
      <c r="J77">
        <v>61.62</v>
      </c>
      <c r="K77">
        <v>47.64</v>
      </c>
      <c r="L77">
        <v>13.98</v>
      </c>
      <c r="M77" t="s">
        <v>24</v>
      </c>
      <c r="N77" t="str">
        <f t="shared" si="3"/>
        <v>OK</v>
      </c>
      <c r="O77" s="7" t="str">
        <f t="shared" si="2"/>
        <v>OK</v>
      </c>
    </row>
    <row r="78" spans="1:15">
      <c r="A78" t="s">
        <v>396</v>
      </c>
      <c r="B78" s="2">
        <v>45669</v>
      </c>
      <c r="C78" t="s">
        <v>397</v>
      </c>
      <c r="D78" t="s">
        <v>61</v>
      </c>
      <c r="E78" t="s">
        <v>42</v>
      </c>
      <c r="F78" t="s">
        <v>23</v>
      </c>
      <c r="G78">
        <v>5</v>
      </c>
      <c r="H78">
        <v>12.44</v>
      </c>
      <c r="I78">
        <v>0</v>
      </c>
      <c r="J78">
        <v>62.2</v>
      </c>
      <c r="K78">
        <v>52.18</v>
      </c>
      <c r="L78">
        <v>10.02</v>
      </c>
      <c r="M78" t="s">
        <v>24</v>
      </c>
      <c r="N78" t="str">
        <f t="shared" si="3"/>
        <v>OK</v>
      </c>
      <c r="O78" s="7" t="str">
        <f t="shared" si="2"/>
        <v>OK</v>
      </c>
    </row>
    <row r="79" spans="1:15">
      <c r="A79" t="s">
        <v>526</v>
      </c>
      <c r="B79" s="2">
        <v>45826</v>
      </c>
      <c r="C79" t="s">
        <v>527</v>
      </c>
      <c r="D79" t="s">
        <v>139</v>
      </c>
      <c r="E79" t="s">
        <v>16</v>
      </c>
      <c r="F79" t="s">
        <v>17</v>
      </c>
      <c r="G79">
        <v>2</v>
      </c>
      <c r="H79">
        <v>31.12</v>
      </c>
      <c r="I79">
        <v>0</v>
      </c>
      <c r="J79">
        <v>62.24</v>
      </c>
      <c r="K79">
        <v>40.93</v>
      </c>
      <c r="L79">
        <v>21.31</v>
      </c>
      <c r="M79" t="s">
        <v>18</v>
      </c>
      <c r="N79" t="str">
        <f t="shared" si="3"/>
        <v>OK</v>
      </c>
      <c r="O79" s="7" t="str">
        <f t="shared" si="2"/>
        <v>OK</v>
      </c>
    </row>
    <row r="80" spans="1:15">
      <c r="A80" t="s">
        <v>43</v>
      </c>
      <c r="B80" s="2">
        <v>45710</v>
      </c>
      <c r="C80" t="s">
        <v>44</v>
      </c>
      <c r="D80" t="s">
        <v>45</v>
      </c>
      <c r="E80" t="s">
        <v>22</v>
      </c>
      <c r="F80" t="s">
        <v>36</v>
      </c>
      <c r="G80">
        <v>4</v>
      </c>
      <c r="H80">
        <v>15.78</v>
      </c>
      <c r="I80">
        <v>0</v>
      </c>
      <c r="J80">
        <v>63.12</v>
      </c>
      <c r="K80">
        <v>42.08</v>
      </c>
      <c r="L80">
        <v>21.04</v>
      </c>
      <c r="M80" t="s">
        <v>18</v>
      </c>
      <c r="N80" t="str">
        <f t="shared" si="3"/>
        <v>OK</v>
      </c>
      <c r="O80" s="7" t="str">
        <f t="shared" si="2"/>
        <v>OK</v>
      </c>
    </row>
    <row r="81" spans="1:15">
      <c r="A81" t="s">
        <v>462</v>
      </c>
      <c r="B81" s="2">
        <v>46022</v>
      </c>
      <c r="C81" t="s">
        <v>359</v>
      </c>
      <c r="D81" t="s">
        <v>61</v>
      </c>
      <c r="E81" t="s">
        <v>42</v>
      </c>
      <c r="F81" t="s">
        <v>17</v>
      </c>
      <c r="G81">
        <v>2</v>
      </c>
      <c r="H81">
        <v>35.17</v>
      </c>
      <c r="I81">
        <v>0.1</v>
      </c>
      <c r="J81">
        <v>63.31</v>
      </c>
      <c r="K81">
        <v>49.89</v>
      </c>
      <c r="L81">
        <v>13.42</v>
      </c>
      <c r="M81" t="s">
        <v>18</v>
      </c>
      <c r="N81" t="str">
        <f t="shared" si="3"/>
        <v>OK</v>
      </c>
      <c r="O81" s="7" t="str">
        <f t="shared" si="2"/>
        <v>OK</v>
      </c>
    </row>
    <row r="82" spans="1:15">
      <c r="A82" t="s">
        <v>438</v>
      </c>
      <c r="B82" s="2">
        <v>45775</v>
      </c>
      <c r="C82" t="s">
        <v>273</v>
      </c>
      <c r="D82" t="s">
        <v>110</v>
      </c>
      <c r="E82" t="s">
        <v>35</v>
      </c>
      <c r="F82" t="s">
        <v>30</v>
      </c>
      <c r="G82">
        <v>4</v>
      </c>
      <c r="H82">
        <v>18.760000000000002</v>
      </c>
      <c r="I82">
        <v>0.15</v>
      </c>
      <c r="J82">
        <v>63.78</v>
      </c>
      <c r="K82">
        <v>49.75</v>
      </c>
      <c r="L82">
        <v>14.03</v>
      </c>
      <c r="M82" t="s">
        <v>18</v>
      </c>
      <c r="N82" t="str">
        <f t="shared" si="3"/>
        <v>OK</v>
      </c>
      <c r="O82" s="7" t="str">
        <f t="shared" si="2"/>
        <v>OK</v>
      </c>
    </row>
    <row r="83" spans="1:15">
      <c r="A83" t="s">
        <v>186</v>
      </c>
      <c r="B83" s="2">
        <v>46003</v>
      </c>
      <c r="C83" t="s">
        <v>187</v>
      </c>
      <c r="D83" t="s">
        <v>77</v>
      </c>
      <c r="E83" t="s">
        <v>22</v>
      </c>
      <c r="F83" t="s">
        <v>36</v>
      </c>
      <c r="G83">
        <v>5</v>
      </c>
      <c r="H83">
        <v>13.47</v>
      </c>
      <c r="I83">
        <v>0.05</v>
      </c>
      <c r="J83">
        <v>63.98</v>
      </c>
      <c r="K83">
        <v>45.45</v>
      </c>
      <c r="L83">
        <v>18.53</v>
      </c>
      <c r="M83" t="s">
        <v>24</v>
      </c>
      <c r="N83" t="str">
        <f t="shared" si="3"/>
        <v>OK</v>
      </c>
      <c r="O83" s="7" t="str">
        <f t="shared" si="2"/>
        <v>OK</v>
      </c>
    </row>
    <row r="84" spans="1:15">
      <c r="A84" t="s">
        <v>434</v>
      </c>
      <c r="B84" s="2">
        <v>45677</v>
      </c>
      <c r="C84" t="s">
        <v>303</v>
      </c>
      <c r="D84" t="s">
        <v>110</v>
      </c>
      <c r="E84" t="s">
        <v>35</v>
      </c>
      <c r="F84" t="s">
        <v>17</v>
      </c>
      <c r="G84">
        <v>5</v>
      </c>
      <c r="H84">
        <v>13</v>
      </c>
      <c r="I84">
        <v>0</v>
      </c>
      <c r="J84">
        <v>65</v>
      </c>
      <c r="K84">
        <v>39.29</v>
      </c>
      <c r="L84">
        <v>25.71</v>
      </c>
      <c r="M84" t="s">
        <v>31</v>
      </c>
      <c r="N84" t="str">
        <f t="shared" si="3"/>
        <v>OK</v>
      </c>
      <c r="O84" s="7" t="str">
        <f t="shared" si="2"/>
        <v>OK</v>
      </c>
    </row>
    <row r="85" spans="1:15">
      <c r="A85" t="s">
        <v>263</v>
      </c>
      <c r="B85" s="2">
        <v>45682</v>
      </c>
      <c r="C85" t="s">
        <v>150</v>
      </c>
      <c r="D85" t="s">
        <v>70</v>
      </c>
      <c r="E85" t="s">
        <v>35</v>
      </c>
      <c r="F85" t="s">
        <v>17</v>
      </c>
      <c r="G85">
        <v>1</v>
      </c>
      <c r="H85">
        <v>68.459999999999994</v>
      </c>
      <c r="I85">
        <v>0.05</v>
      </c>
      <c r="J85">
        <v>65.040000000000006</v>
      </c>
      <c r="K85">
        <v>49.53</v>
      </c>
      <c r="L85">
        <v>15.51</v>
      </c>
      <c r="M85" t="s">
        <v>18</v>
      </c>
      <c r="N85" t="str">
        <f t="shared" si="3"/>
        <v>OK</v>
      </c>
      <c r="O85" s="7" t="str">
        <f t="shared" si="2"/>
        <v>OK</v>
      </c>
    </row>
    <row r="86" spans="1:15">
      <c r="A86" t="s">
        <v>155</v>
      </c>
      <c r="B86" s="2">
        <v>45909</v>
      </c>
      <c r="C86" t="s">
        <v>81</v>
      </c>
      <c r="D86" t="s">
        <v>21</v>
      </c>
      <c r="E86" t="s">
        <v>22</v>
      </c>
      <c r="F86" t="s">
        <v>17</v>
      </c>
      <c r="G86">
        <v>5</v>
      </c>
      <c r="H86">
        <v>15.42</v>
      </c>
      <c r="I86">
        <v>0.15</v>
      </c>
      <c r="J86">
        <v>65.540000000000006</v>
      </c>
      <c r="K86">
        <v>46.42</v>
      </c>
      <c r="L86">
        <v>19.12</v>
      </c>
      <c r="M86" t="s">
        <v>18</v>
      </c>
      <c r="N86" t="str">
        <f t="shared" si="3"/>
        <v>OK</v>
      </c>
      <c r="O86" s="7" t="str">
        <f t="shared" si="2"/>
        <v>OK</v>
      </c>
    </row>
    <row r="87" spans="1:15">
      <c r="A87" t="s">
        <v>689</v>
      </c>
      <c r="B87" s="2">
        <v>45876</v>
      </c>
      <c r="C87" t="s">
        <v>164</v>
      </c>
      <c r="D87" t="s">
        <v>21</v>
      </c>
      <c r="E87" t="s">
        <v>22</v>
      </c>
      <c r="F87" t="s">
        <v>17</v>
      </c>
      <c r="G87">
        <v>1</v>
      </c>
      <c r="H87">
        <v>68.41</v>
      </c>
      <c r="I87">
        <v>0</v>
      </c>
      <c r="J87">
        <v>68.41</v>
      </c>
      <c r="K87">
        <v>47.6</v>
      </c>
      <c r="L87">
        <v>20.81</v>
      </c>
      <c r="M87" t="s">
        <v>18</v>
      </c>
      <c r="N87" t="str">
        <f t="shared" si="3"/>
        <v>OK</v>
      </c>
      <c r="O87" s="7" t="str">
        <f t="shared" si="2"/>
        <v>OK</v>
      </c>
    </row>
    <row r="88" spans="1:15">
      <c r="A88" t="s">
        <v>475</v>
      </c>
      <c r="B88" s="2">
        <v>45696</v>
      </c>
      <c r="C88" t="s">
        <v>476</v>
      </c>
      <c r="D88" t="s">
        <v>53</v>
      </c>
      <c r="E88" t="s">
        <v>42</v>
      </c>
      <c r="F88" t="s">
        <v>17</v>
      </c>
      <c r="G88">
        <v>5</v>
      </c>
      <c r="H88">
        <v>13.71</v>
      </c>
      <c r="I88">
        <v>0</v>
      </c>
      <c r="J88">
        <v>68.55</v>
      </c>
      <c r="K88">
        <v>51.13</v>
      </c>
      <c r="L88">
        <v>17.420000000000002</v>
      </c>
      <c r="M88" t="s">
        <v>24</v>
      </c>
      <c r="N88" t="str">
        <f t="shared" si="3"/>
        <v>OK</v>
      </c>
      <c r="O88" s="7" t="str">
        <f t="shared" si="2"/>
        <v>OK</v>
      </c>
    </row>
    <row r="89" spans="1:15">
      <c r="A89" t="s">
        <v>366</v>
      </c>
      <c r="B89" s="2">
        <v>45775</v>
      </c>
      <c r="C89" t="s">
        <v>367</v>
      </c>
      <c r="D89" t="s">
        <v>77</v>
      </c>
      <c r="E89" t="s">
        <v>22</v>
      </c>
      <c r="F89" t="s">
        <v>36</v>
      </c>
      <c r="G89">
        <v>0</v>
      </c>
      <c r="H89">
        <v>72.239999999999995</v>
      </c>
      <c r="I89">
        <v>0.05</v>
      </c>
      <c r="J89">
        <v>68.63</v>
      </c>
      <c r="K89">
        <v>40.06</v>
      </c>
      <c r="L89">
        <v>28.57</v>
      </c>
      <c r="M89" t="s">
        <v>31</v>
      </c>
      <c r="N89" t="str">
        <f t="shared" si="3"/>
        <v>Mismatch</v>
      </c>
      <c r="O89" s="7" t="str">
        <f t="shared" si="2"/>
        <v>OK</v>
      </c>
    </row>
    <row r="90" spans="1:15">
      <c r="A90" t="s">
        <v>423</v>
      </c>
      <c r="B90" s="2">
        <v>45679</v>
      </c>
      <c r="C90" t="s">
        <v>245</v>
      </c>
      <c r="D90" t="s">
        <v>77</v>
      </c>
      <c r="E90" t="s">
        <v>22</v>
      </c>
      <c r="F90" t="s">
        <v>30</v>
      </c>
      <c r="G90">
        <v>4</v>
      </c>
      <c r="H90">
        <v>17.260000000000002</v>
      </c>
      <c r="I90">
        <v>0</v>
      </c>
      <c r="J90">
        <v>69.040000000000006</v>
      </c>
      <c r="K90">
        <v>53.57</v>
      </c>
      <c r="L90">
        <v>15.47</v>
      </c>
      <c r="M90" t="s">
        <v>18</v>
      </c>
      <c r="N90" t="str">
        <f t="shared" si="3"/>
        <v>OK</v>
      </c>
      <c r="O90" s="7" t="str">
        <f t="shared" si="2"/>
        <v>OK</v>
      </c>
    </row>
    <row r="91" spans="1:15">
      <c r="A91" t="s">
        <v>582</v>
      </c>
      <c r="B91" s="2">
        <v>45852</v>
      </c>
      <c r="C91" t="s">
        <v>414</v>
      </c>
      <c r="D91" t="s">
        <v>61</v>
      </c>
      <c r="E91" t="s">
        <v>42</v>
      </c>
      <c r="F91" t="s">
        <v>23</v>
      </c>
      <c r="G91">
        <v>1</v>
      </c>
      <c r="H91">
        <v>70.67</v>
      </c>
      <c r="I91">
        <v>0</v>
      </c>
      <c r="J91">
        <v>70.67</v>
      </c>
      <c r="K91">
        <v>57.51</v>
      </c>
      <c r="L91">
        <v>13.16</v>
      </c>
      <c r="M91" t="s">
        <v>18</v>
      </c>
      <c r="N91" t="str">
        <f t="shared" si="3"/>
        <v>OK</v>
      </c>
      <c r="O91" s="7" t="str">
        <f t="shared" si="2"/>
        <v>OK</v>
      </c>
    </row>
    <row r="92" spans="1:15">
      <c r="A92" t="s">
        <v>704</v>
      </c>
      <c r="B92" s="2">
        <v>45682</v>
      </c>
      <c r="C92" t="s">
        <v>172</v>
      </c>
      <c r="D92" t="s">
        <v>61</v>
      </c>
      <c r="E92" t="s">
        <v>42</v>
      </c>
      <c r="F92" t="s">
        <v>17</v>
      </c>
      <c r="G92">
        <v>3</v>
      </c>
      <c r="H92">
        <v>23.89</v>
      </c>
      <c r="I92">
        <v>0</v>
      </c>
      <c r="J92">
        <v>71.67</v>
      </c>
      <c r="K92">
        <v>52.22</v>
      </c>
      <c r="L92">
        <v>19.45</v>
      </c>
      <c r="M92" t="s">
        <v>31</v>
      </c>
      <c r="N92" t="str">
        <f t="shared" si="3"/>
        <v>OK</v>
      </c>
      <c r="O92" s="7" t="str">
        <f t="shared" si="2"/>
        <v>OK</v>
      </c>
    </row>
    <row r="93" spans="1:15">
      <c r="A93" t="s">
        <v>288</v>
      </c>
      <c r="B93" s="2">
        <v>45677</v>
      </c>
      <c r="C93" t="s">
        <v>289</v>
      </c>
      <c r="D93" t="s">
        <v>53</v>
      </c>
      <c r="E93" t="s">
        <v>42</v>
      </c>
      <c r="F93" t="s">
        <v>30</v>
      </c>
      <c r="G93">
        <v>5</v>
      </c>
      <c r="H93">
        <v>17.95</v>
      </c>
      <c r="I93">
        <v>0.2</v>
      </c>
      <c r="J93">
        <v>71.8</v>
      </c>
      <c r="K93">
        <v>58.53</v>
      </c>
      <c r="L93">
        <v>13.27</v>
      </c>
      <c r="M93" t="s">
        <v>18</v>
      </c>
      <c r="N93" t="str">
        <f t="shared" si="3"/>
        <v>OK</v>
      </c>
      <c r="O93" s="7" t="str">
        <f t="shared" si="2"/>
        <v>OK</v>
      </c>
    </row>
    <row r="94" spans="1:15">
      <c r="A94" t="s">
        <v>405</v>
      </c>
      <c r="B94" s="2">
        <v>45899</v>
      </c>
      <c r="C94" t="s">
        <v>271</v>
      </c>
      <c r="D94" t="s">
        <v>53</v>
      </c>
      <c r="E94" t="s">
        <v>42</v>
      </c>
      <c r="F94" t="s">
        <v>30</v>
      </c>
      <c r="G94">
        <v>2</v>
      </c>
      <c r="H94">
        <v>40.630000000000003</v>
      </c>
      <c r="I94">
        <v>0.1</v>
      </c>
      <c r="J94">
        <v>73.13</v>
      </c>
      <c r="K94">
        <v>47.32</v>
      </c>
      <c r="L94">
        <v>25.81</v>
      </c>
      <c r="M94" t="s">
        <v>18</v>
      </c>
      <c r="N94" t="str">
        <f t="shared" si="3"/>
        <v>OK</v>
      </c>
      <c r="O94" s="7" t="str">
        <f t="shared" si="2"/>
        <v>OK</v>
      </c>
    </row>
    <row r="95" spans="1:15">
      <c r="A95" t="s">
        <v>564</v>
      </c>
      <c r="B95" s="2">
        <v>45665</v>
      </c>
      <c r="C95" t="s">
        <v>379</v>
      </c>
      <c r="D95" t="s">
        <v>41</v>
      </c>
      <c r="E95" t="s">
        <v>42</v>
      </c>
      <c r="F95" t="s">
        <v>30</v>
      </c>
      <c r="G95">
        <v>2</v>
      </c>
      <c r="H95">
        <v>39.01</v>
      </c>
      <c r="I95">
        <v>0.05</v>
      </c>
      <c r="J95">
        <v>74.12</v>
      </c>
      <c r="K95">
        <v>53.24</v>
      </c>
      <c r="L95">
        <v>20.88</v>
      </c>
      <c r="M95" t="s">
        <v>31</v>
      </c>
      <c r="N95" t="str">
        <f t="shared" si="3"/>
        <v>OK</v>
      </c>
      <c r="O95" s="7" t="str">
        <f t="shared" si="2"/>
        <v>OK</v>
      </c>
    </row>
    <row r="96" spans="1:15">
      <c r="A96" t="s">
        <v>365</v>
      </c>
      <c r="B96" s="2">
        <v>45955</v>
      </c>
      <c r="C96" t="s">
        <v>109</v>
      </c>
      <c r="D96" t="s">
        <v>110</v>
      </c>
      <c r="E96" t="s">
        <v>35</v>
      </c>
      <c r="F96" t="s">
        <v>23</v>
      </c>
      <c r="G96">
        <v>3</v>
      </c>
      <c r="H96">
        <v>29.19</v>
      </c>
      <c r="I96">
        <v>0.15</v>
      </c>
      <c r="J96">
        <v>74.430000000000007</v>
      </c>
      <c r="K96">
        <v>58.79</v>
      </c>
      <c r="L96">
        <v>15.64</v>
      </c>
      <c r="M96" t="s">
        <v>18</v>
      </c>
      <c r="N96" t="str">
        <f t="shared" si="3"/>
        <v>OK</v>
      </c>
      <c r="O96" s="7" t="str">
        <f t="shared" si="2"/>
        <v>OK</v>
      </c>
    </row>
    <row r="97" spans="1:15">
      <c r="A97" t="s">
        <v>671</v>
      </c>
      <c r="B97" s="2">
        <v>45888</v>
      </c>
      <c r="C97" t="s">
        <v>33</v>
      </c>
      <c r="D97" t="s">
        <v>34</v>
      </c>
      <c r="E97" t="s">
        <v>35</v>
      </c>
      <c r="F97" t="s">
        <v>17</v>
      </c>
      <c r="G97">
        <v>1</v>
      </c>
      <c r="H97">
        <v>87.98</v>
      </c>
      <c r="I97">
        <v>0.15</v>
      </c>
      <c r="J97">
        <v>74.78</v>
      </c>
      <c r="K97">
        <v>42.53</v>
      </c>
      <c r="L97">
        <v>32.25</v>
      </c>
      <c r="M97" t="s">
        <v>24</v>
      </c>
      <c r="N97" t="str">
        <f t="shared" si="3"/>
        <v>OK</v>
      </c>
      <c r="O97" s="7" t="str">
        <f t="shared" si="2"/>
        <v>OK</v>
      </c>
    </row>
    <row r="98" spans="1:15">
      <c r="A98" t="s">
        <v>332</v>
      </c>
      <c r="B98" s="2">
        <v>45992</v>
      </c>
      <c r="C98" t="s">
        <v>333</v>
      </c>
      <c r="D98" t="s">
        <v>15</v>
      </c>
      <c r="E98" t="s">
        <v>16</v>
      </c>
      <c r="F98" t="s">
        <v>23</v>
      </c>
      <c r="G98">
        <v>1</v>
      </c>
      <c r="H98">
        <v>83.44</v>
      </c>
      <c r="I98">
        <v>0.1</v>
      </c>
      <c r="J98">
        <v>75.099999999999994</v>
      </c>
      <c r="K98">
        <v>52.27</v>
      </c>
      <c r="L98">
        <v>22.83</v>
      </c>
      <c r="M98" t="s">
        <v>18</v>
      </c>
      <c r="N98" t="str">
        <f t="shared" si="3"/>
        <v>OK</v>
      </c>
      <c r="O98" s="7" t="str">
        <f t="shared" si="2"/>
        <v>OK</v>
      </c>
    </row>
    <row r="99" spans="1:15">
      <c r="A99" t="s">
        <v>258</v>
      </c>
      <c r="B99" s="2">
        <v>45967</v>
      </c>
      <c r="C99" t="s">
        <v>259</v>
      </c>
      <c r="D99" t="s">
        <v>105</v>
      </c>
      <c r="E99" t="s">
        <v>42</v>
      </c>
      <c r="F99" t="s">
        <v>30</v>
      </c>
      <c r="G99">
        <v>1</v>
      </c>
      <c r="H99">
        <v>80.03</v>
      </c>
      <c r="I99">
        <v>0.05</v>
      </c>
      <c r="J99">
        <v>76.03</v>
      </c>
      <c r="K99">
        <v>53.65</v>
      </c>
      <c r="L99">
        <v>22.38</v>
      </c>
      <c r="M99" t="s">
        <v>18</v>
      </c>
      <c r="N99" t="str">
        <f t="shared" si="3"/>
        <v>OK</v>
      </c>
      <c r="O99" s="7" t="str">
        <f t="shared" si="2"/>
        <v>OK</v>
      </c>
    </row>
    <row r="100" spans="1:15">
      <c r="A100" t="s">
        <v>494</v>
      </c>
      <c r="B100" s="2">
        <v>45964</v>
      </c>
      <c r="C100" t="s">
        <v>297</v>
      </c>
      <c r="D100" t="s">
        <v>56</v>
      </c>
      <c r="E100" t="s">
        <v>16</v>
      </c>
      <c r="F100" t="s">
        <v>17</v>
      </c>
      <c r="G100">
        <v>1</v>
      </c>
      <c r="H100">
        <v>76.290000000000006</v>
      </c>
      <c r="I100">
        <v>0</v>
      </c>
      <c r="J100">
        <v>76.290000000000006</v>
      </c>
      <c r="K100">
        <v>56.08</v>
      </c>
      <c r="L100">
        <v>20.21</v>
      </c>
      <c r="M100" t="s">
        <v>31</v>
      </c>
      <c r="N100" t="str">
        <f t="shared" ref="N100:N129" si="4">IF(ABS(ROUND(G100*H100*(1-I100),2)-J100)&lt;=0.01,"OK","Mismatch")</f>
        <v>OK</v>
      </c>
      <c r="O100" s="7" t="str">
        <f t="shared" si="2"/>
        <v>OK</v>
      </c>
    </row>
    <row r="101" spans="1:15">
      <c r="A101" t="s">
        <v>459</v>
      </c>
      <c r="B101" s="2">
        <v>45925</v>
      </c>
      <c r="C101" t="s">
        <v>454</v>
      </c>
      <c r="D101" t="s">
        <v>45</v>
      </c>
      <c r="E101" t="s">
        <v>22</v>
      </c>
      <c r="F101" t="s">
        <v>23</v>
      </c>
      <c r="G101">
        <v>1</v>
      </c>
      <c r="H101">
        <v>76.349999999999994</v>
      </c>
      <c r="I101">
        <v>0</v>
      </c>
      <c r="J101">
        <v>76.349999999999994</v>
      </c>
      <c r="K101">
        <v>52.1</v>
      </c>
      <c r="L101">
        <v>24.25</v>
      </c>
      <c r="M101" t="s">
        <v>18</v>
      </c>
      <c r="N101" t="str">
        <f t="shared" si="4"/>
        <v>OK</v>
      </c>
      <c r="O101" s="7" t="str">
        <f t="shared" si="2"/>
        <v>OK</v>
      </c>
    </row>
    <row r="102" spans="1:15">
      <c r="A102" t="s">
        <v>499</v>
      </c>
      <c r="B102" s="2">
        <v>45942</v>
      </c>
      <c r="C102" t="s">
        <v>500</v>
      </c>
      <c r="D102" t="s">
        <v>21</v>
      </c>
      <c r="E102" t="s">
        <v>22</v>
      </c>
      <c r="F102" t="s">
        <v>36</v>
      </c>
      <c r="G102">
        <v>1</v>
      </c>
      <c r="H102">
        <v>77.53</v>
      </c>
      <c r="I102">
        <v>0</v>
      </c>
      <c r="J102">
        <v>77.53</v>
      </c>
      <c r="K102">
        <v>60.08</v>
      </c>
      <c r="L102">
        <v>17.45</v>
      </c>
      <c r="M102" t="s">
        <v>18</v>
      </c>
      <c r="N102" t="str">
        <f t="shared" si="4"/>
        <v>OK</v>
      </c>
      <c r="O102" s="7" t="str">
        <f t="shared" si="2"/>
        <v>OK</v>
      </c>
    </row>
    <row r="103" spans="1:15">
      <c r="A103" t="s">
        <v>183</v>
      </c>
      <c r="B103" s="2">
        <v>46017</v>
      </c>
      <c r="C103" t="s">
        <v>60</v>
      </c>
      <c r="D103" t="s">
        <v>139</v>
      </c>
      <c r="E103" t="s">
        <v>16</v>
      </c>
      <c r="F103" t="s">
        <v>23</v>
      </c>
      <c r="G103">
        <v>1</v>
      </c>
      <c r="H103">
        <v>87.14</v>
      </c>
      <c r="I103">
        <v>0.1</v>
      </c>
      <c r="J103">
        <v>78.430000000000007</v>
      </c>
      <c r="K103">
        <v>52.56</v>
      </c>
      <c r="L103">
        <v>25.87</v>
      </c>
      <c r="M103" t="s">
        <v>24</v>
      </c>
      <c r="N103" t="str">
        <f t="shared" si="4"/>
        <v>OK</v>
      </c>
      <c r="O103" s="7" t="str">
        <f t="shared" si="2"/>
        <v>OK</v>
      </c>
    </row>
    <row r="104" spans="1:15">
      <c r="A104" t="s">
        <v>680</v>
      </c>
      <c r="B104" s="2">
        <v>45695</v>
      </c>
      <c r="C104" t="s">
        <v>47</v>
      </c>
      <c r="D104" t="s">
        <v>29</v>
      </c>
      <c r="E104" t="s">
        <v>22</v>
      </c>
      <c r="F104" t="s">
        <v>30</v>
      </c>
      <c r="G104">
        <v>2</v>
      </c>
      <c r="H104">
        <v>41.57</v>
      </c>
      <c r="I104">
        <v>0.05</v>
      </c>
      <c r="J104">
        <v>78.98</v>
      </c>
      <c r="K104">
        <v>61.01</v>
      </c>
      <c r="L104">
        <v>17.97</v>
      </c>
      <c r="M104" t="s">
        <v>24</v>
      </c>
      <c r="N104" t="str">
        <f t="shared" si="4"/>
        <v>OK</v>
      </c>
      <c r="O104" s="7" t="str">
        <f t="shared" si="2"/>
        <v>OK</v>
      </c>
    </row>
    <row r="105" spans="1:15">
      <c r="A105" t="s">
        <v>368</v>
      </c>
      <c r="B105" s="2">
        <v>45827</v>
      </c>
      <c r="C105" t="s">
        <v>285</v>
      </c>
      <c r="D105" t="s">
        <v>21</v>
      </c>
      <c r="E105" t="s">
        <v>22</v>
      </c>
      <c r="F105" t="s">
        <v>23</v>
      </c>
      <c r="G105">
        <v>2</v>
      </c>
      <c r="H105">
        <v>44.47</v>
      </c>
      <c r="I105">
        <v>0.1</v>
      </c>
      <c r="J105">
        <v>80.05</v>
      </c>
      <c r="K105">
        <v>53.9</v>
      </c>
      <c r="L105">
        <v>26.15</v>
      </c>
      <c r="M105" t="s">
        <v>31</v>
      </c>
      <c r="N105" t="str">
        <f t="shared" si="4"/>
        <v>OK</v>
      </c>
      <c r="O105" s="7" t="str">
        <f t="shared" si="2"/>
        <v>OK</v>
      </c>
    </row>
    <row r="106" spans="1:15">
      <c r="A106" t="s">
        <v>411</v>
      </c>
      <c r="B106" s="2">
        <v>45766</v>
      </c>
      <c r="C106" t="s">
        <v>232</v>
      </c>
      <c r="D106" t="s">
        <v>34</v>
      </c>
      <c r="E106" t="s">
        <v>35</v>
      </c>
      <c r="F106" t="s">
        <v>23</v>
      </c>
      <c r="G106">
        <v>5</v>
      </c>
      <c r="H106">
        <v>16.23</v>
      </c>
      <c r="I106">
        <v>0</v>
      </c>
      <c r="J106">
        <v>81.150000000000006</v>
      </c>
      <c r="K106">
        <v>62.8</v>
      </c>
      <c r="L106">
        <v>18.350000000000001</v>
      </c>
      <c r="M106" t="s">
        <v>18</v>
      </c>
      <c r="N106" t="str">
        <f t="shared" si="4"/>
        <v>OK</v>
      </c>
      <c r="O106" s="7" t="str">
        <f t="shared" si="2"/>
        <v>OK</v>
      </c>
    </row>
    <row r="107" spans="1:15">
      <c r="A107" t="s">
        <v>78</v>
      </c>
      <c r="B107" s="2">
        <v>45755</v>
      </c>
      <c r="C107" t="s">
        <v>79</v>
      </c>
      <c r="D107" t="s">
        <v>45</v>
      </c>
      <c r="E107" t="s">
        <v>22</v>
      </c>
      <c r="F107" t="s">
        <v>17</v>
      </c>
      <c r="G107">
        <v>4</v>
      </c>
      <c r="H107">
        <v>21.91</v>
      </c>
      <c r="I107">
        <v>0.05</v>
      </c>
      <c r="J107">
        <v>83.26</v>
      </c>
      <c r="K107">
        <v>51.84</v>
      </c>
      <c r="L107">
        <v>31.42</v>
      </c>
      <c r="M107" t="s">
        <v>31</v>
      </c>
      <c r="N107" t="str">
        <f t="shared" si="4"/>
        <v>OK</v>
      </c>
      <c r="O107" s="7" t="str">
        <f t="shared" si="2"/>
        <v>OK</v>
      </c>
    </row>
    <row r="108" spans="1:15">
      <c r="A108" t="s">
        <v>144</v>
      </c>
      <c r="B108" s="2">
        <v>45910</v>
      </c>
      <c r="C108" t="s">
        <v>145</v>
      </c>
      <c r="D108" t="s">
        <v>34</v>
      </c>
      <c r="E108" t="s">
        <v>35</v>
      </c>
      <c r="F108" t="s">
        <v>36</v>
      </c>
      <c r="G108">
        <v>3</v>
      </c>
      <c r="H108">
        <v>28.14</v>
      </c>
      <c r="I108">
        <v>0</v>
      </c>
      <c r="J108">
        <v>84.42</v>
      </c>
      <c r="K108">
        <v>65.72</v>
      </c>
      <c r="L108">
        <v>18.7</v>
      </c>
      <c r="M108" t="s">
        <v>24</v>
      </c>
      <c r="N108" t="str">
        <f t="shared" si="4"/>
        <v>OK</v>
      </c>
      <c r="O108" s="7" t="str">
        <f t="shared" si="2"/>
        <v>OK</v>
      </c>
    </row>
    <row r="109" spans="1:15">
      <c r="A109" t="s">
        <v>358</v>
      </c>
      <c r="B109" s="2">
        <v>45922</v>
      </c>
      <c r="C109" t="s">
        <v>359</v>
      </c>
      <c r="D109" t="s">
        <v>70</v>
      </c>
      <c r="E109" t="s">
        <v>35</v>
      </c>
      <c r="F109" t="s">
        <v>30</v>
      </c>
      <c r="G109">
        <v>1</v>
      </c>
      <c r="H109">
        <v>84.44</v>
      </c>
      <c r="I109">
        <v>0</v>
      </c>
      <c r="J109">
        <v>84.44</v>
      </c>
      <c r="K109">
        <v>61.31</v>
      </c>
      <c r="L109">
        <v>23.13</v>
      </c>
      <c r="M109" t="s">
        <v>18</v>
      </c>
      <c r="N109" t="str">
        <f t="shared" si="4"/>
        <v>OK</v>
      </c>
      <c r="O109" s="7" t="str">
        <f t="shared" si="2"/>
        <v>OK</v>
      </c>
    </row>
    <row r="110" spans="1:15">
      <c r="A110" t="s">
        <v>678</v>
      </c>
      <c r="B110" s="2">
        <v>45838</v>
      </c>
      <c r="C110" t="s">
        <v>467</v>
      </c>
      <c r="D110" t="s">
        <v>88</v>
      </c>
      <c r="E110" t="s">
        <v>16</v>
      </c>
      <c r="F110" t="s">
        <v>36</v>
      </c>
      <c r="G110">
        <v>1</v>
      </c>
      <c r="H110">
        <v>87.05</v>
      </c>
      <c r="I110">
        <v>0</v>
      </c>
      <c r="J110">
        <v>87.05</v>
      </c>
      <c r="K110">
        <v>69.349999999999994</v>
      </c>
      <c r="L110">
        <v>17.7</v>
      </c>
      <c r="M110" t="s">
        <v>18</v>
      </c>
      <c r="N110" t="str">
        <f t="shared" si="4"/>
        <v>OK</v>
      </c>
      <c r="O110" s="7" t="str">
        <f t="shared" si="2"/>
        <v>OK</v>
      </c>
    </row>
    <row r="111" spans="1:15">
      <c r="A111" t="s">
        <v>130</v>
      </c>
      <c r="B111" s="2">
        <v>45910</v>
      </c>
      <c r="C111" t="s">
        <v>131</v>
      </c>
      <c r="D111" t="s">
        <v>48</v>
      </c>
      <c r="E111" t="s">
        <v>35</v>
      </c>
      <c r="F111" t="s">
        <v>17</v>
      </c>
      <c r="G111">
        <v>2</v>
      </c>
      <c r="H111">
        <v>43.55</v>
      </c>
      <c r="I111">
        <v>0</v>
      </c>
      <c r="J111">
        <v>87.1</v>
      </c>
      <c r="K111">
        <v>53.51</v>
      </c>
      <c r="L111">
        <v>33.590000000000003</v>
      </c>
      <c r="M111" t="s">
        <v>18</v>
      </c>
      <c r="N111" t="str">
        <f t="shared" si="4"/>
        <v>OK</v>
      </c>
      <c r="O111" s="7" t="str">
        <f t="shared" si="2"/>
        <v>OK</v>
      </c>
    </row>
    <row r="112" spans="1:15">
      <c r="A112" t="s">
        <v>684</v>
      </c>
      <c r="B112" s="2">
        <v>45788</v>
      </c>
      <c r="C112" t="s">
        <v>685</v>
      </c>
      <c r="D112" t="s">
        <v>48</v>
      </c>
      <c r="E112" t="s">
        <v>35</v>
      </c>
      <c r="F112" t="s">
        <v>23</v>
      </c>
      <c r="G112">
        <v>3</v>
      </c>
      <c r="H112">
        <v>32.29</v>
      </c>
      <c r="I112">
        <v>0.1</v>
      </c>
      <c r="J112">
        <v>87.18</v>
      </c>
      <c r="K112">
        <v>52.79</v>
      </c>
      <c r="L112">
        <v>34.39</v>
      </c>
      <c r="M112" t="s">
        <v>18</v>
      </c>
      <c r="N112" t="str">
        <f t="shared" si="4"/>
        <v>OK</v>
      </c>
      <c r="O112" s="7" t="str">
        <f t="shared" si="2"/>
        <v>OK</v>
      </c>
    </row>
    <row r="113" spans="1:15">
      <c r="A113" t="s">
        <v>156</v>
      </c>
      <c r="B113" s="2">
        <v>45711</v>
      </c>
      <c r="C113" t="s">
        <v>157</v>
      </c>
      <c r="D113" t="s">
        <v>15</v>
      </c>
      <c r="E113" t="s">
        <v>16</v>
      </c>
      <c r="F113" t="s">
        <v>17</v>
      </c>
      <c r="G113">
        <v>1</v>
      </c>
      <c r="H113">
        <v>97.97</v>
      </c>
      <c r="I113">
        <v>0.1</v>
      </c>
      <c r="J113">
        <v>88.17</v>
      </c>
      <c r="K113">
        <v>66.900000000000006</v>
      </c>
      <c r="L113">
        <v>21.27</v>
      </c>
      <c r="M113" t="s">
        <v>18</v>
      </c>
      <c r="N113" t="str">
        <f t="shared" si="4"/>
        <v>OK</v>
      </c>
      <c r="O113" s="7" t="str">
        <f t="shared" si="2"/>
        <v>OK</v>
      </c>
    </row>
    <row r="114" spans="1:15">
      <c r="A114" t="s">
        <v>420</v>
      </c>
      <c r="B114" s="2">
        <v>45771</v>
      </c>
      <c r="C114" t="s">
        <v>253</v>
      </c>
      <c r="D114" t="s">
        <v>88</v>
      </c>
      <c r="E114" t="s">
        <v>16</v>
      </c>
      <c r="F114" t="s">
        <v>23</v>
      </c>
      <c r="G114">
        <v>2</v>
      </c>
      <c r="H114">
        <v>46.63</v>
      </c>
      <c r="I114">
        <v>0.05</v>
      </c>
      <c r="J114">
        <v>88.6</v>
      </c>
      <c r="K114">
        <v>60.21</v>
      </c>
      <c r="L114">
        <v>28.39</v>
      </c>
      <c r="M114" t="s">
        <v>24</v>
      </c>
      <c r="N114" t="str">
        <f t="shared" si="4"/>
        <v>OK</v>
      </c>
      <c r="O114" s="7" t="str">
        <f t="shared" si="2"/>
        <v>OK</v>
      </c>
    </row>
    <row r="115" spans="1:15">
      <c r="A115" t="s">
        <v>546</v>
      </c>
      <c r="B115" s="2">
        <v>45893</v>
      </c>
      <c r="C115" t="s">
        <v>500</v>
      </c>
      <c r="D115" t="s">
        <v>29</v>
      </c>
      <c r="E115" t="s">
        <v>22</v>
      </c>
      <c r="F115" t="s">
        <v>23</v>
      </c>
      <c r="G115">
        <v>1</v>
      </c>
      <c r="H115">
        <v>89.87</v>
      </c>
      <c r="I115">
        <v>0</v>
      </c>
      <c r="J115">
        <v>89.87</v>
      </c>
      <c r="K115">
        <v>66.53</v>
      </c>
      <c r="L115">
        <v>23.34</v>
      </c>
      <c r="M115" t="s">
        <v>18</v>
      </c>
      <c r="N115" t="str">
        <f t="shared" si="4"/>
        <v>OK</v>
      </c>
      <c r="O115" s="7" t="str">
        <f t="shared" si="2"/>
        <v>OK</v>
      </c>
    </row>
    <row r="116" spans="1:15">
      <c r="A116" t="s">
        <v>550</v>
      </c>
      <c r="B116" s="2">
        <v>45960</v>
      </c>
      <c r="C116" t="s">
        <v>33</v>
      </c>
      <c r="D116" t="s">
        <v>139</v>
      </c>
      <c r="E116" t="s">
        <v>16</v>
      </c>
      <c r="F116" t="s">
        <v>36</v>
      </c>
      <c r="G116">
        <v>5</v>
      </c>
      <c r="H116">
        <v>17.989999999999998</v>
      </c>
      <c r="I116">
        <v>0</v>
      </c>
      <c r="J116">
        <v>89.95</v>
      </c>
      <c r="K116">
        <v>63.39</v>
      </c>
      <c r="L116">
        <v>26.56</v>
      </c>
      <c r="M116" t="s">
        <v>24</v>
      </c>
      <c r="N116" t="str">
        <f t="shared" si="4"/>
        <v>OK</v>
      </c>
      <c r="O116" s="7" t="str">
        <f t="shared" si="2"/>
        <v>OK</v>
      </c>
    </row>
    <row r="117" spans="1:15">
      <c r="A117" t="s">
        <v>128</v>
      </c>
      <c r="B117" s="2">
        <v>45817</v>
      </c>
      <c r="C117" t="s">
        <v>65</v>
      </c>
      <c r="D117" t="s">
        <v>56</v>
      </c>
      <c r="E117" t="s">
        <v>16</v>
      </c>
      <c r="F117" t="s">
        <v>23</v>
      </c>
      <c r="G117">
        <v>1</v>
      </c>
      <c r="H117">
        <v>100.77</v>
      </c>
      <c r="I117">
        <v>0.1</v>
      </c>
      <c r="J117">
        <v>90.69</v>
      </c>
      <c r="K117">
        <v>66.63</v>
      </c>
      <c r="L117">
        <v>24.06</v>
      </c>
      <c r="M117" t="s">
        <v>18</v>
      </c>
      <c r="N117" t="str">
        <f t="shared" si="4"/>
        <v>OK</v>
      </c>
      <c r="O117" s="7" t="str">
        <f t="shared" si="2"/>
        <v>OK</v>
      </c>
    </row>
    <row r="118" spans="1:15">
      <c r="A118" t="s">
        <v>320</v>
      </c>
      <c r="B118" s="2">
        <v>45823</v>
      </c>
      <c r="C118" t="s">
        <v>321</v>
      </c>
      <c r="D118" t="s">
        <v>70</v>
      </c>
      <c r="E118" t="s">
        <v>35</v>
      </c>
      <c r="F118" t="s">
        <v>36</v>
      </c>
      <c r="G118">
        <v>5</v>
      </c>
      <c r="H118">
        <v>22.19</v>
      </c>
      <c r="I118">
        <v>0.15</v>
      </c>
      <c r="J118">
        <v>94.31</v>
      </c>
      <c r="K118">
        <v>61.99</v>
      </c>
      <c r="L118">
        <v>32.32</v>
      </c>
      <c r="M118" t="s">
        <v>18</v>
      </c>
      <c r="N118" t="str">
        <f t="shared" si="4"/>
        <v>OK</v>
      </c>
      <c r="O118" s="7" t="str">
        <f t="shared" si="2"/>
        <v>OK</v>
      </c>
    </row>
    <row r="119" spans="1:15">
      <c r="A119" t="s">
        <v>338</v>
      </c>
      <c r="B119" s="2">
        <v>45768</v>
      </c>
      <c r="C119" t="s">
        <v>40</v>
      </c>
      <c r="D119" t="s">
        <v>88</v>
      </c>
      <c r="E119" t="s">
        <v>16</v>
      </c>
      <c r="F119" t="s">
        <v>23</v>
      </c>
      <c r="G119">
        <v>5</v>
      </c>
      <c r="H119">
        <v>19.89</v>
      </c>
      <c r="I119">
        <v>0.05</v>
      </c>
      <c r="J119">
        <v>94.48</v>
      </c>
      <c r="K119">
        <v>54.72</v>
      </c>
      <c r="L119">
        <v>39.76</v>
      </c>
      <c r="M119" t="s">
        <v>31</v>
      </c>
      <c r="N119" t="str">
        <f t="shared" si="4"/>
        <v>OK</v>
      </c>
      <c r="O119" s="7" t="str">
        <f t="shared" si="2"/>
        <v>OK</v>
      </c>
    </row>
    <row r="120" spans="1:15">
      <c r="A120" t="s">
        <v>473</v>
      </c>
      <c r="B120" s="2">
        <v>45661</v>
      </c>
      <c r="C120" t="s">
        <v>474</v>
      </c>
      <c r="D120" t="s">
        <v>56</v>
      </c>
      <c r="E120" t="s">
        <v>16</v>
      </c>
      <c r="F120" t="s">
        <v>17</v>
      </c>
      <c r="G120">
        <v>1</v>
      </c>
      <c r="H120">
        <v>120.71</v>
      </c>
      <c r="I120">
        <v>0.2</v>
      </c>
      <c r="J120">
        <v>96.57</v>
      </c>
      <c r="K120">
        <v>55.22</v>
      </c>
      <c r="L120">
        <v>41.35</v>
      </c>
      <c r="M120" t="s">
        <v>18</v>
      </c>
      <c r="N120" t="str">
        <f t="shared" si="4"/>
        <v>OK</v>
      </c>
      <c r="O120" s="7" t="str">
        <f t="shared" si="2"/>
        <v>OK</v>
      </c>
    </row>
    <row r="121" spans="1:15">
      <c r="A121" t="s">
        <v>644</v>
      </c>
      <c r="B121" s="2">
        <v>45793</v>
      </c>
      <c r="C121" t="s">
        <v>120</v>
      </c>
      <c r="D121" t="s">
        <v>45</v>
      </c>
      <c r="E121" t="s">
        <v>22</v>
      </c>
      <c r="F121" t="s">
        <v>30</v>
      </c>
      <c r="G121">
        <v>4</v>
      </c>
      <c r="H121">
        <v>24.4</v>
      </c>
      <c r="I121">
        <v>0</v>
      </c>
      <c r="J121">
        <v>97.6</v>
      </c>
      <c r="K121">
        <v>55.1</v>
      </c>
      <c r="L121">
        <v>42.5</v>
      </c>
      <c r="M121" t="s">
        <v>24</v>
      </c>
      <c r="N121" t="str">
        <f t="shared" si="4"/>
        <v>OK</v>
      </c>
      <c r="O121" s="7" t="str">
        <f t="shared" si="2"/>
        <v>OK</v>
      </c>
    </row>
    <row r="122" spans="1:15">
      <c r="A122" t="s">
        <v>609</v>
      </c>
      <c r="B122" s="2">
        <v>45722</v>
      </c>
      <c r="C122" t="s">
        <v>170</v>
      </c>
      <c r="D122" t="s">
        <v>70</v>
      </c>
      <c r="E122" t="s">
        <v>35</v>
      </c>
      <c r="F122" t="s">
        <v>36</v>
      </c>
      <c r="G122">
        <v>1</v>
      </c>
      <c r="H122">
        <v>98.43</v>
      </c>
      <c r="I122">
        <v>0</v>
      </c>
      <c r="J122">
        <v>98.43</v>
      </c>
      <c r="K122">
        <v>54.2</v>
      </c>
      <c r="L122">
        <v>44.23</v>
      </c>
      <c r="M122" t="s">
        <v>24</v>
      </c>
      <c r="N122" t="str">
        <f t="shared" si="4"/>
        <v>OK</v>
      </c>
      <c r="O122" s="7" t="str">
        <f t="shared" si="2"/>
        <v>OK</v>
      </c>
    </row>
    <row r="123" spans="1:15">
      <c r="A123" t="s">
        <v>121</v>
      </c>
      <c r="B123" s="2">
        <v>45929</v>
      </c>
      <c r="C123" t="s">
        <v>122</v>
      </c>
      <c r="D123" t="s">
        <v>34</v>
      </c>
      <c r="E123" t="s">
        <v>35</v>
      </c>
      <c r="F123" t="s">
        <v>36</v>
      </c>
      <c r="G123">
        <v>2</v>
      </c>
      <c r="H123">
        <v>49.24</v>
      </c>
      <c r="I123">
        <v>0</v>
      </c>
      <c r="J123">
        <v>98.48</v>
      </c>
      <c r="K123">
        <v>59.57</v>
      </c>
      <c r="L123">
        <v>38.909999999999997</v>
      </c>
      <c r="M123" t="s">
        <v>31</v>
      </c>
      <c r="N123" t="str">
        <f t="shared" si="4"/>
        <v>OK</v>
      </c>
      <c r="O123" s="7" t="str">
        <f t="shared" si="2"/>
        <v>OK</v>
      </c>
    </row>
    <row r="124" spans="1:15">
      <c r="A124" t="s">
        <v>117</v>
      </c>
      <c r="B124" s="2">
        <v>45802</v>
      </c>
      <c r="C124" t="s">
        <v>118</v>
      </c>
      <c r="D124" t="s">
        <v>15</v>
      </c>
      <c r="E124" t="s">
        <v>16</v>
      </c>
      <c r="F124" t="s">
        <v>17</v>
      </c>
      <c r="G124">
        <v>4</v>
      </c>
      <c r="H124">
        <v>30.83</v>
      </c>
      <c r="I124">
        <v>0.2</v>
      </c>
      <c r="J124">
        <v>98.66</v>
      </c>
      <c r="K124">
        <v>75.41</v>
      </c>
      <c r="L124">
        <v>23.25</v>
      </c>
      <c r="M124" t="s">
        <v>18</v>
      </c>
      <c r="N124" t="str">
        <f t="shared" si="4"/>
        <v>OK</v>
      </c>
      <c r="O124" s="7" t="str">
        <f t="shared" si="2"/>
        <v>OK</v>
      </c>
    </row>
    <row r="125" spans="1:15">
      <c r="A125" t="s">
        <v>469</v>
      </c>
      <c r="B125" s="2">
        <v>45820</v>
      </c>
      <c r="C125" t="s">
        <v>191</v>
      </c>
      <c r="D125" t="s">
        <v>77</v>
      </c>
      <c r="E125" t="s">
        <v>22</v>
      </c>
      <c r="F125" t="s">
        <v>36</v>
      </c>
      <c r="G125">
        <v>2</v>
      </c>
      <c r="H125">
        <v>50.03</v>
      </c>
      <c r="I125">
        <v>0</v>
      </c>
      <c r="J125">
        <v>100.06</v>
      </c>
      <c r="K125">
        <v>57.65</v>
      </c>
      <c r="L125">
        <v>42.41</v>
      </c>
      <c r="M125" t="s">
        <v>18</v>
      </c>
      <c r="N125" t="str">
        <f t="shared" si="4"/>
        <v>OK</v>
      </c>
      <c r="O125" s="7" t="str">
        <f t="shared" si="2"/>
        <v>OK</v>
      </c>
    </row>
    <row r="126" spans="1:15">
      <c r="A126" t="s">
        <v>229</v>
      </c>
      <c r="B126" s="2">
        <v>45806</v>
      </c>
      <c r="C126" t="s">
        <v>104</v>
      </c>
      <c r="D126" t="s">
        <v>41</v>
      </c>
      <c r="E126" t="s">
        <v>42</v>
      </c>
      <c r="F126" t="s">
        <v>30</v>
      </c>
      <c r="G126">
        <v>4</v>
      </c>
      <c r="H126">
        <v>29.44</v>
      </c>
      <c r="I126">
        <v>0.15</v>
      </c>
      <c r="J126">
        <v>100.1</v>
      </c>
      <c r="K126">
        <v>81.180000000000007</v>
      </c>
      <c r="L126">
        <v>18.920000000000002</v>
      </c>
      <c r="M126" t="s">
        <v>18</v>
      </c>
      <c r="N126" t="str">
        <f t="shared" si="4"/>
        <v>OK</v>
      </c>
      <c r="O126" s="7" t="str">
        <f t="shared" si="2"/>
        <v>OK</v>
      </c>
    </row>
    <row r="127" spans="1:15">
      <c r="A127" t="s">
        <v>394</v>
      </c>
      <c r="B127" s="2">
        <v>45682</v>
      </c>
      <c r="C127" t="s">
        <v>395</v>
      </c>
      <c r="D127" t="s">
        <v>45</v>
      </c>
      <c r="E127" t="s">
        <v>22</v>
      </c>
      <c r="F127" t="s">
        <v>30</v>
      </c>
      <c r="G127">
        <v>1</v>
      </c>
      <c r="H127">
        <v>112.28</v>
      </c>
      <c r="I127">
        <v>0.1</v>
      </c>
      <c r="J127">
        <v>101.05</v>
      </c>
      <c r="K127">
        <v>60.88</v>
      </c>
      <c r="L127">
        <v>40.17</v>
      </c>
      <c r="M127" t="s">
        <v>18</v>
      </c>
      <c r="N127" t="str">
        <f t="shared" si="4"/>
        <v>OK</v>
      </c>
      <c r="O127" s="7" t="str">
        <f t="shared" si="2"/>
        <v>OK</v>
      </c>
    </row>
    <row r="128" spans="1:15">
      <c r="A128" t="s">
        <v>223</v>
      </c>
      <c r="B128" s="2">
        <v>46017</v>
      </c>
      <c r="C128" t="s">
        <v>224</v>
      </c>
      <c r="D128" t="s">
        <v>29</v>
      </c>
      <c r="E128" t="s">
        <v>22</v>
      </c>
      <c r="F128" t="s">
        <v>36</v>
      </c>
      <c r="G128">
        <v>2</v>
      </c>
      <c r="H128">
        <v>51.31</v>
      </c>
      <c r="I128">
        <v>0</v>
      </c>
      <c r="J128">
        <v>102.62</v>
      </c>
      <c r="K128">
        <v>62.03</v>
      </c>
      <c r="L128">
        <v>40.590000000000003</v>
      </c>
      <c r="M128" t="s">
        <v>18</v>
      </c>
      <c r="N128" t="str">
        <f t="shared" si="4"/>
        <v>OK</v>
      </c>
      <c r="O128" s="7" t="str">
        <f t="shared" si="2"/>
        <v>OK</v>
      </c>
    </row>
    <row r="129" spans="1:15">
      <c r="A129" t="s">
        <v>369</v>
      </c>
      <c r="B129" s="2">
        <v>45717</v>
      </c>
      <c r="C129" t="s">
        <v>152</v>
      </c>
      <c r="D129" t="s">
        <v>21</v>
      </c>
      <c r="E129" t="s">
        <v>22</v>
      </c>
      <c r="F129" t="s">
        <v>36</v>
      </c>
      <c r="G129">
        <v>2</v>
      </c>
      <c r="H129">
        <v>51.97</v>
      </c>
      <c r="I129">
        <v>0</v>
      </c>
      <c r="J129">
        <v>103.94</v>
      </c>
      <c r="K129">
        <v>79.989999999999995</v>
      </c>
      <c r="L129">
        <v>23.95</v>
      </c>
      <c r="M129" t="s">
        <v>24</v>
      </c>
      <c r="N129" t="str">
        <f t="shared" si="4"/>
        <v>OK</v>
      </c>
      <c r="O129" s="7" t="str">
        <f t="shared" si="2"/>
        <v>OK</v>
      </c>
    </row>
    <row r="130" spans="1:15">
      <c r="A130" t="s">
        <v>140</v>
      </c>
      <c r="B130" s="2">
        <v>45710</v>
      </c>
      <c r="C130" t="s">
        <v>141</v>
      </c>
      <c r="D130" t="s">
        <v>56</v>
      </c>
      <c r="E130" t="s">
        <v>16</v>
      </c>
      <c r="F130" t="s">
        <v>23</v>
      </c>
      <c r="G130">
        <v>5</v>
      </c>
      <c r="H130">
        <v>23.77</v>
      </c>
      <c r="I130">
        <v>0.1</v>
      </c>
      <c r="J130">
        <v>106.96</v>
      </c>
      <c r="K130">
        <v>76.599999999999994</v>
      </c>
      <c r="L130">
        <v>30.36</v>
      </c>
      <c r="M130" t="s">
        <v>31</v>
      </c>
      <c r="N130" t="str">
        <f t="shared" ref="N130:N193" si="5">IF(ABS(ROUND(G130*H130*(1-I130),2)-J130)&lt;=0.01,"OK","Mismatch")</f>
        <v>Mismatch</v>
      </c>
      <c r="O130" s="7" t="str">
        <f t="shared" ref="O130:O193" si="6">IF(ROUND(J130-K130,2)=ROUND(L130,2),"OK","Mismatch")</f>
        <v>OK</v>
      </c>
    </row>
    <row r="131" spans="1:15">
      <c r="A131" t="s">
        <v>656</v>
      </c>
      <c r="B131" s="2">
        <v>45797</v>
      </c>
      <c r="C131" t="s">
        <v>182</v>
      </c>
      <c r="D131" t="s">
        <v>45</v>
      </c>
      <c r="E131" t="s">
        <v>22</v>
      </c>
      <c r="F131" t="s">
        <v>30</v>
      </c>
      <c r="G131">
        <v>1</v>
      </c>
      <c r="H131">
        <v>107.19</v>
      </c>
      <c r="I131">
        <v>0</v>
      </c>
      <c r="J131">
        <v>107.19</v>
      </c>
      <c r="K131">
        <v>62.01</v>
      </c>
      <c r="L131">
        <v>45.18</v>
      </c>
      <c r="M131" t="s">
        <v>24</v>
      </c>
      <c r="N131" t="str">
        <f t="shared" si="5"/>
        <v>OK</v>
      </c>
      <c r="O131" s="7" t="str">
        <f t="shared" si="6"/>
        <v>OK</v>
      </c>
    </row>
    <row r="132" spans="1:15">
      <c r="A132" t="s">
        <v>649</v>
      </c>
      <c r="B132" s="2">
        <v>45795</v>
      </c>
      <c r="C132" t="s">
        <v>425</v>
      </c>
      <c r="D132" t="s">
        <v>29</v>
      </c>
      <c r="E132" t="s">
        <v>22</v>
      </c>
      <c r="F132" t="s">
        <v>17</v>
      </c>
      <c r="G132">
        <v>3</v>
      </c>
      <c r="H132">
        <v>39.880000000000003</v>
      </c>
      <c r="I132">
        <v>0.1</v>
      </c>
      <c r="J132">
        <v>107.68</v>
      </c>
      <c r="K132">
        <v>87.05</v>
      </c>
      <c r="L132">
        <v>20.63</v>
      </c>
      <c r="M132" t="s">
        <v>24</v>
      </c>
      <c r="N132" t="str">
        <f t="shared" si="5"/>
        <v>OK</v>
      </c>
      <c r="O132" s="7" t="str">
        <f t="shared" si="6"/>
        <v>OK</v>
      </c>
    </row>
    <row r="133" spans="1:15">
      <c r="A133" t="s">
        <v>376</v>
      </c>
      <c r="B133" s="2">
        <v>45730</v>
      </c>
      <c r="C133" t="s">
        <v>377</v>
      </c>
      <c r="D133" t="s">
        <v>45</v>
      </c>
      <c r="E133" t="s">
        <v>22</v>
      </c>
      <c r="F133" t="s">
        <v>30</v>
      </c>
      <c r="G133">
        <v>5</v>
      </c>
      <c r="H133">
        <v>21.66</v>
      </c>
      <c r="I133">
        <v>0</v>
      </c>
      <c r="J133">
        <v>108.3</v>
      </c>
      <c r="K133">
        <v>88.62</v>
      </c>
      <c r="L133">
        <v>19.68</v>
      </c>
      <c r="M133" t="s">
        <v>18</v>
      </c>
      <c r="N133" t="str">
        <f t="shared" si="5"/>
        <v>OK</v>
      </c>
      <c r="O133" s="7" t="str">
        <f t="shared" si="6"/>
        <v>OK</v>
      </c>
    </row>
    <row r="134" spans="1:15">
      <c r="A134" t="s">
        <v>378</v>
      </c>
      <c r="B134" s="2">
        <v>45662</v>
      </c>
      <c r="C134" t="s">
        <v>379</v>
      </c>
      <c r="D134" t="s">
        <v>56</v>
      </c>
      <c r="E134" t="s">
        <v>16</v>
      </c>
      <c r="F134" t="s">
        <v>17</v>
      </c>
      <c r="G134">
        <v>1</v>
      </c>
      <c r="H134">
        <v>114.15</v>
      </c>
      <c r="I134">
        <v>0.05</v>
      </c>
      <c r="J134">
        <v>108.44</v>
      </c>
      <c r="K134">
        <v>86.7</v>
      </c>
      <c r="L134">
        <v>21.74</v>
      </c>
      <c r="M134" t="s">
        <v>24</v>
      </c>
      <c r="N134" t="str">
        <f t="shared" si="5"/>
        <v>OK</v>
      </c>
      <c r="O134" s="7" t="str">
        <f t="shared" si="6"/>
        <v>OK</v>
      </c>
    </row>
    <row r="135" spans="1:15">
      <c r="A135" t="s">
        <v>650</v>
      </c>
      <c r="B135" s="2">
        <v>45975</v>
      </c>
      <c r="C135" t="s">
        <v>135</v>
      </c>
      <c r="D135" t="s">
        <v>15</v>
      </c>
      <c r="E135" t="s">
        <v>16</v>
      </c>
      <c r="F135" t="s">
        <v>23</v>
      </c>
      <c r="G135">
        <v>1</v>
      </c>
      <c r="H135">
        <v>108.56</v>
      </c>
      <c r="I135">
        <v>0</v>
      </c>
      <c r="J135">
        <v>108.56</v>
      </c>
      <c r="K135">
        <v>74.16</v>
      </c>
      <c r="L135">
        <v>34.4</v>
      </c>
      <c r="M135" t="s">
        <v>18</v>
      </c>
      <c r="N135" t="str">
        <f t="shared" si="5"/>
        <v>OK</v>
      </c>
      <c r="O135" s="7" t="str">
        <f t="shared" si="6"/>
        <v>OK</v>
      </c>
    </row>
    <row r="136" spans="1:15">
      <c r="A136" t="s">
        <v>302</v>
      </c>
      <c r="B136" s="2">
        <v>45981</v>
      </c>
      <c r="C136" t="s">
        <v>303</v>
      </c>
      <c r="D136" t="s">
        <v>45</v>
      </c>
      <c r="E136" t="s">
        <v>22</v>
      </c>
      <c r="F136" t="s">
        <v>23</v>
      </c>
      <c r="G136">
        <v>5</v>
      </c>
      <c r="H136">
        <v>25.63</v>
      </c>
      <c r="I136">
        <v>0.15</v>
      </c>
      <c r="J136">
        <v>108.93</v>
      </c>
      <c r="K136">
        <v>82.39</v>
      </c>
      <c r="L136">
        <v>26.54</v>
      </c>
      <c r="M136" t="s">
        <v>18</v>
      </c>
      <c r="N136" t="str">
        <f t="shared" si="5"/>
        <v>OK</v>
      </c>
      <c r="O136" s="7" t="str">
        <f t="shared" si="6"/>
        <v>OK</v>
      </c>
    </row>
    <row r="137" spans="1:15">
      <c r="A137" t="s">
        <v>326</v>
      </c>
      <c r="B137" s="2">
        <v>45776</v>
      </c>
      <c r="C137" t="s">
        <v>33</v>
      </c>
      <c r="D137" t="s">
        <v>70</v>
      </c>
      <c r="E137" t="s">
        <v>35</v>
      </c>
      <c r="F137" t="s">
        <v>17</v>
      </c>
      <c r="G137">
        <v>3</v>
      </c>
      <c r="H137">
        <v>45.7</v>
      </c>
      <c r="I137">
        <v>0.2</v>
      </c>
      <c r="J137">
        <v>109.68</v>
      </c>
      <c r="K137">
        <v>71.41</v>
      </c>
      <c r="L137">
        <v>38.270000000000003</v>
      </c>
      <c r="M137" t="s">
        <v>31</v>
      </c>
      <c r="N137" t="str">
        <f t="shared" si="5"/>
        <v>OK</v>
      </c>
      <c r="O137" s="7" t="str">
        <f t="shared" si="6"/>
        <v>OK</v>
      </c>
    </row>
    <row r="138" spans="1:15">
      <c r="A138" t="s">
        <v>37</v>
      </c>
      <c r="B138" s="2">
        <v>45707</v>
      </c>
      <c r="C138" t="s">
        <v>38</v>
      </c>
      <c r="D138" t="s">
        <v>29</v>
      </c>
      <c r="E138" t="s">
        <v>22</v>
      </c>
      <c r="F138" t="s">
        <v>23</v>
      </c>
      <c r="G138">
        <v>4</v>
      </c>
      <c r="H138">
        <v>28.99</v>
      </c>
      <c r="I138">
        <v>0.05</v>
      </c>
      <c r="J138">
        <v>110.16</v>
      </c>
      <c r="K138">
        <v>61.72</v>
      </c>
      <c r="L138">
        <v>48.44</v>
      </c>
      <c r="M138" t="s">
        <v>18</v>
      </c>
      <c r="N138" t="str">
        <f t="shared" si="5"/>
        <v>OK</v>
      </c>
      <c r="O138" s="7" t="str">
        <f t="shared" si="6"/>
        <v>OK</v>
      </c>
    </row>
    <row r="139" spans="1:15">
      <c r="A139" t="s">
        <v>463</v>
      </c>
      <c r="B139" s="2">
        <v>45833</v>
      </c>
      <c r="C139" t="s">
        <v>259</v>
      </c>
      <c r="D139" t="s">
        <v>53</v>
      </c>
      <c r="E139" t="s">
        <v>42</v>
      </c>
      <c r="F139" t="s">
        <v>30</v>
      </c>
      <c r="G139">
        <v>1</v>
      </c>
      <c r="H139">
        <v>110.88</v>
      </c>
      <c r="I139">
        <v>0</v>
      </c>
      <c r="J139">
        <v>110.88</v>
      </c>
      <c r="K139">
        <v>73.08</v>
      </c>
      <c r="L139">
        <v>37.799999999999997</v>
      </c>
      <c r="M139" t="s">
        <v>24</v>
      </c>
      <c r="N139" t="str">
        <f t="shared" si="5"/>
        <v>OK</v>
      </c>
      <c r="O139" s="7" t="str">
        <f t="shared" si="6"/>
        <v>OK</v>
      </c>
    </row>
    <row r="140" spans="1:15">
      <c r="A140" t="s">
        <v>542</v>
      </c>
      <c r="B140" s="2">
        <v>45740</v>
      </c>
      <c r="C140" t="s">
        <v>280</v>
      </c>
      <c r="D140" t="s">
        <v>34</v>
      </c>
      <c r="E140" t="s">
        <v>35</v>
      </c>
      <c r="F140" t="s">
        <v>36</v>
      </c>
      <c r="G140">
        <v>2</v>
      </c>
      <c r="H140">
        <v>61.9</v>
      </c>
      <c r="I140">
        <v>0.1</v>
      </c>
      <c r="J140">
        <v>111.42</v>
      </c>
      <c r="K140">
        <v>91.09</v>
      </c>
      <c r="L140">
        <v>20.329999999999998</v>
      </c>
      <c r="M140" t="s">
        <v>31</v>
      </c>
      <c r="N140" t="str">
        <f t="shared" si="5"/>
        <v>OK</v>
      </c>
      <c r="O140" s="7" t="str">
        <f t="shared" si="6"/>
        <v>OK</v>
      </c>
    </row>
    <row r="141" spans="1:15">
      <c r="A141" t="s">
        <v>511</v>
      </c>
      <c r="B141" s="2">
        <v>45963</v>
      </c>
      <c r="C141" t="s">
        <v>168</v>
      </c>
      <c r="D141" t="s">
        <v>77</v>
      </c>
      <c r="E141" t="s">
        <v>22</v>
      </c>
      <c r="F141" t="s">
        <v>17</v>
      </c>
      <c r="G141">
        <v>3</v>
      </c>
      <c r="H141">
        <v>43.92</v>
      </c>
      <c r="I141">
        <v>0.15</v>
      </c>
      <c r="J141">
        <v>112</v>
      </c>
      <c r="K141">
        <v>75.52</v>
      </c>
      <c r="L141">
        <v>36.479999999999997</v>
      </c>
      <c r="M141" t="s">
        <v>18</v>
      </c>
      <c r="N141" t="str">
        <f t="shared" si="5"/>
        <v>OK</v>
      </c>
      <c r="O141" s="7" t="str">
        <f t="shared" si="6"/>
        <v>OK</v>
      </c>
    </row>
    <row r="142" spans="1:15">
      <c r="A142" t="s">
        <v>401</v>
      </c>
      <c r="B142" s="2">
        <v>45920</v>
      </c>
      <c r="C142" t="s">
        <v>266</v>
      </c>
      <c r="D142" t="s">
        <v>88</v>
      </c>
      <c r="E142" t="s">
        <v>16</v>
      </c>
      <c r="F142" t="s">
        <v>23</v>
      </c>
      <c r="G142">
        <v>3</v>
      </c>
      <c r="H142">
        <v>37.35</v>
      </c>
      <c r="I142">
        <v>0</v>
      </c>
      <c r="J142">
        <v>112.05</v>
      </c>
      <c r="K142">
        <v>87.94</v>
      </c>
      <c r="L142">
        <v>24.11</v>
      </c>
      <c r="M142" t="s">
        <v>18</v>
      </c>
      <c r="N142" t="str">
        <f t="shared" si="5"/>
        <v>OK</v>
      </c>
      <c r="O142" s="7" t="str">
        <f t="shared" si="6"/>
        <v>OK</v>
      </c>
    </row>
    <row r="143" spans="1:15">
      <c r="A143" t="s">
        <v>416</v>
      </c>
      <c r="B143" s="2">
        <v>45923</v>
      </c>
      <c r="C143" t="s">
        <v>417</v>
      </c>
      <c r="D143" t="s">
        <v>77</v>
      </c>
      <c r="E143" t="s">
        <v>22</v>
      </c>
      <c r="F143" t="s">
        <v>23</v>
      </c>
      <c r="G143">
        <v>1</v>
      </c>
      <c r="H143">
        <v>118.75</v>
      </c>
      <c r="I143">
        <v>0.05</v>
      </c>
      <c r="J143">
        <v>112.81</v>
      </c>
      <c r="K143">
        <v>63.47</v>
      </c>
      <c r="L143">
        <v>49.34</v>
      </c>
      <c r="M143" t="s">
        <v>18</v>
      </c>
      <c r="N143" t="str">
        <f t="shared" si="5"/>
        <v>OK</v>
      </c>
      <c r="O143" s="7" t="str">
        <f t="shared" si="6"/>
        <v>OK</v>
      </c>
    </row>
    <row r="144" spans="1:15">
      <c r="A144" t="s">
        <v>205</v>
      </c>
      <c r="B144" s="2">
        <v>46013</v>
      </c>
      <c r="C144" t="s">
        <v>206</v>
      </c>
      <c r="D144" t="s">
        <v>45</v>
      </c>
      <c r="E144" t="s">
        <v>22</v>
      </c>
      <c r="F144" t="s">
        <v>17</v>
      </c>
      <c r="G144">
        <v>1</v>
      </c>
      <c r="H144">
        <v>113.03</v>
      </c>
      <c r="I144">
        <v>0</v>
      </c>
      <c r="J144">
        <v>113.03</v>
      </c>
      <c r="K144">
        <v>81.88</v>
      </c>
      <c r="L144">
        <v>31.15</v>
      </c>
      <c r="M144" t="s">
        <v>18</v>
      </c>
      <c r="N144" t="str">
        <f t="shared" si="5"/>
        <v>OK</v>
      </c>
      <c r="O144" s="7" t="str">
        <f t="shared" si="6"/>
        <v>OK</v>
      </c>
    </row>
    <row r="145" spans="1:15">
      <c r="A145" t="s">
        <v>410</v>
      </c>
      <c r="B145" s="2">
        <v>45726</v>
      </c>
      <c r="C145" t="s">
        <v>76</v>
      </c>
      <c r="D145" t="s">
        <v>56</v>
      </c>
      <c r="E145" t="s">
        <v>16</v>
      </c>
      <c r="F145" t="s">
        <v>23</v>
      </c>
      <c r="G145">
        <v>1</v>
      </c>
      <c r="H145">
        <v>113.6</v>
      </c>
      <c r="I145">
        <v>0</v>
      </c>
      <c r="J145">
        <v>113.6</v>
      </c>
      <c r="K145">
        <v>80.150000000000006</v>
      </c>
      <c r="L145">
        <v>33.450000000000003</v>
      </c>
      <c r="M145" t="s">
        <v>18</v>
      </c>
      <c r="N145" t="str">
        <f t="shared" si="5"/>
        <v>OK</v>
      </c>
      <c r="O145" s="7" t="str">
        <f t="shared" si="6"/>
        <v>OK</v>
      </c>
    </row>
    <row r="146" spans="1:15">
      <c r="A146" t="s">
        <v>221</v>
      </c>
      <c r="B146" s="2">
        <v>46022</v>
      </c>
      <c r="C146" t="s">
        <v>191</v>
      </c>
      <c r="D146" t="s">
        <v>34</v>
      </c>
      <c r="E146" t="s">
        <v>35</v>
      </c>
      <c r="F146" t="s">
        <v>23</v>
      </c>
      <c r="G146">
        <v>2</v>
      </c>
      <c r="H146">
        <v>66.84</v>
      </c>
      <c r="I146">
        <v>0.15</v>
      </c>
      <c r="J146">
        <v>113.63</v>
      </c>
      <c r="K146">
        <v>66.27</v>
      </c>
      <c r="L146">
        <v>47.36</v>
      </c>
      <c r="M146" t="s">
        <v>24</v>
      </c>
      <c r="N146" t="str">
        <f t="shared" si="5"/>
        <v>OK</v>
      </c>
      <c r="O146" s="7" t="str">
        <f t="shared" si="6"/>
        <v>OK</v>
      </c>
    </row>
    <row r="147" spans="1:15">
      <c r="A147" t="s">
        <v>676</v>
      </c>
      <c r="B147" s="2">
        <v>45688</v>
      </c>
      <c r="C147" t="s">
        <v>194</v>
      </c>
      <c r="D147" t="s">
        <v>61</v>
      </c>
      <c r="E147" t="s">
        <v>42</v>
      </c>
      <c r="F147" t="s">
        <v>17</v>
      </c>
      <c r="G147">
        <v>2</v>
      </c>
      <c r="H147">
        <v>66.930000000000007</v>
      </c>
      <c r="I147">
        <v>0.15</v>
      </c>
      <c r="J147">
        <v>113.78</v>
      </c>
      <c r="K147">
        <v>67.87</v>
      </c>
      <c r="L147">
        <v>45.91</v>
      </c>
      <c r="M147" t="s">
        <v>18</v>
      </c>
      <c r="N147" t="str">
        <f t="shared" si="5"/>
        <v>OK</v>
      </c>
      <c r="O147" s="7" t="str">
        <f t="shared" si="6"/>
        <v>OK</v>
      </c>
    </row>
    <row r="148" spans="1:15">
      <c r="A148" t="s">
        <v>567</v>
      </c>
      <c r="B148" s="2">
        <v>45765</v>
      </c>
      <c r="C148" t="s">
        <v>94</v>
      </c>
      <c r="D148" t="s">
        <v>110</v>
      </c>
      <c r="E148" t="s">
        <v>35</v>
      </c>
      <c r="F148" t="s">
        <v>30</v>
      </c>
      <c r="G148">
        <v>3</v>
      </c>
      <c r="H148">
        <v>38.29</v>
      </c>
      <c r="I148">
        <v>0</v>
      </c>
      <c r="J148">
        <v>114.87</v>
      </c>
      <c r="K148">
        <v>63.63</v>
      </c>
      <c r="L148">
        <v>51.24</v>
      </c>
      <c r="M148" t="s">
        <v>24</v>
      </c>
      <c r="N148" t="str">
        <f t="shared" si="5"/>
        <v>OK</v>
      </c>
      <c r="O148" s="7" t="str">
        <f t="shared" si="6"/>
        <v>OK</v>
      </c>
    </row>
    <row r="149" spans="1:15">
      <c r="A149" t="s">
        <v>407</v>
      </c>
      <c r="B149" s="2">
        <v>45878</v>
      </c>
      <c r="C149" t="s">
        <v>191</v>
      </c>
      <c r="D149" t="s">
        <v>61</v>
      </c>
      <c r="E149" t="s">
        <v>42</v>
      </c>
      <c r="F149" t="s">
        <v>30</v>
      </c>
      <c r="G149">
        <v>2</v>
      </c>
      <c r="H149">
        <v>63.84</v>
      </c>
      <c r="I149">
        <v>0.1</v>
      </c>
      <c r="J149">
        <v>114.91</v>
      </c>
      <c r="K149">
        <v>79.61</v>
      </c>
      <c r="L149">
        <v>35.299999999999997</v>
      </c>
      <c r="M149" t="s">
        <v>18</v>
      </c>
      <c r="N149" t="str">
        <f t="shared" si="5"/>
        <v>OK</v>
      </c>
      <c r="O149" s="7" t="str">
        <f t="shared" si="6"/>
        <v>OK</v>
      </c>
    </row>
    <row r="150" spans="1:15">
      <c r="A150" t="s">
        <v>528</v>
      </c>
      <c r="B150" s="2">
        <v>45770</v>
      </c>
      <c r="C150" t="s">
        <v>47</v>
      </c>
      <c r="D150" t="s">
        <v>77</v>
      </c>
      <c r="E150" t="s">
        <v>22</v>
      </c>
      <c r="F150" t="s">
        <v>36</v>
      </c>
      <c r="G150">
        <v>1</v>
      </c>
      <c r="H150">
        <v>144.46</v>
      </c>
      <c r="I150">
        <v>0.2</v>
      </c>
      <c r="J150">
        <v>115.57</v>
      </c>
      <c r="K150">
        <v>70.52</v>
      </c>
      <c r="L150">
        <v>45.05</v>
      </c>
      <c r="M150" t="s">
        <v>18</v>
      </c>
      <c r="N150" t="str">
        <f t="shared" si="5"/>
        <v>OK</v>
      </c>
      <c r="O150" s="7" t="str">
        <f t="shared" si="6"/>
        <v>OK</v>
      </c>
    </row>
    <row r="151" spans="1:15">
      <c r="A151" t="s">
        <v>19</v>
      </c>
      <c r="B151" s="2">
        <v>45951</v>
      </c>
      <c r="C151" t="s">
        <v>20</v>
      </c>
      <c r="D151" t="s">
        <v>21</v>
      </c>
      <c r="E151" t="s">
        <v>22</v>
      </c>
      <c r="F151" t="s">
        <v>23</v>
      </c>
      <c r="G151">
        <v>4</v>
      </c>
      <c r="H151">
        <v>32.57</v>
      </c>
      <c r="I151">
        <v>0.1</v>
      </c>
      <c r="J151">
        <v>117.25</v>
      </c>
      <c r="K151">
        <v>66.47</v>
      </c>
      <c r="L151">
        <v>50.78</v>
      </c>
      <c r="M151" t="s">
        <v>24</v>
      </c>
      <c r="N151" t="str">
        <f t="shared" si="5"/>
        <v>OK</v>
      </c>
      <c r="O151" s="7" t="str">
        <f t="shared" si="6"/>
        <v>OK</v>
      </c>
    </row>
    <row r="152" spans="1:15">
      <c r="A152" t="s">
        <v>573</v>
      </c>
      <c r="B152" s="2">
        <v>45770</v>
      </c>
      <c r="C152" t="s">
        <v>321</v>
      </c>
      <c r="D152" t="s">
        <v>70</v>
      </c>
      <c r="E152" t="s">
        <v>35</v>
      </c>
      <c r="F152" t="s">
        <v>17</v>
      </c>
      <c r="G152">
        <v>1</v>
      </c>
      <c r="H152">
        <v>117.3</v>
      </c>
      <c r="I152">
        <v>0</v>
      </c>
      <c r="J152">
        <v>117.3</v>
      </c>
      <c r="K152">
        <v>65.66</v>
      </c>
      <c r="L152">
        <v>51.64</v>
      </c>
      <c r="M152" t="s">
        <v>18</v>
      </c>
      <c r="N152" t="str">
        <f t="shared" si="5"/>
        <v>OK</v>
      </c>
      <c r="O152" s="7" t="str">
        <f t="shared" si="6"/>
        <v>OK</v>
      </c>
    </row>
    <row r="153" spans="1:15">
      <c r="A153" t="s">
        <v>497</v>
      </c>
      <c r="B153" s="2">
        <v>45832</v>
      </c>
      <c r="C153" t="s">
        <v>65</v>
      </c>
      <c r="D153" t="s">
        <v>105</v>
      </c>
      <c r="E153" t="s">
        <v>42</v>
      </c>
      <c r="F153" t="s">
        <v>36</v>
      </c>
      <c r="G153">
        <v>1</v>
      </c>
      <c r="H153">
        <v>117.46</v>
      </c>
      <c r="I153">
        <v>0</v>
      </c>
      <c r="J153">
        <v>117.46</v>
      </c>
      <c r="K153">
        <v>73.680000000000007</v>
      </c>
      <c r="L153">
        <v>43.78</v>
      </c>
      <c r="M153" t="s">
        <v>18</v>
      </c>
      <c r="N153" t="str">
        <f t="shared" si="5"/>
        <v>OK</v>
      </c>
      <c r="O153" s="7" t="str">
        <f t="shared" si="6"/>
        <v>OK</v>
      </c>
    </row>
    <row r="154" spans="1:15">
      <c r="A154" t="s">
        <v>281</v>
      </c>
      <c r="B154" s="2">
        <v>45730</v>
      </c>
      <c r="C154" t="s">
        <v>282</v>
      </c>
      <c r="D154" t="s">
        <v>110</v>
      </c>
      <c r="E154" t="s">
        <v>35</v>
      </c>
      <c r="F154" t="s">
        <v>30</v>
      </c>
      <c r="G154">
        <v>2</v>
      </c>
      <c r="H154">
        <v>58.96</v>
      </c>
      <c r="I154">
        <v>0</v>
      </c>
      <c r="J154">
        <v>117.92</v>
      </c>
      <c r="K154">
        <v>66.349999999999994</v>
      </c>
      <c r="L154">
        <v>51.57</v>
      </c>
      <c r="M154" t="s">
        <v>18</v>
      </c>
      <c r="N154" t="str">
        <f t="shared" si="5"/>
        <v>OK</v>
      </c>
      <c r="O154" s="7" t="str">
        <f t="shared" si="6"/>
        <v>OK</v>
      </c>
    </row>
    <row r="155" spans="1:15">
      <c r="A155" t="s">
        <v>530</v>
      </c>
      <c r="B155" s="2">
        <v>45947</v>
      </c>
      <c r="C155" t="s">
        <v>444</v>
      </c>
      <c r="D155" t="s">
        <v>29</v>
      </c>
      <c r="E155" t="s">
        <v>22</v>
      </c>
      <c r="F155" t="s">
        <v>36</v>
      </c>
      <c r="G155">
        <v>1</v>
      </c>
      <c r="H155">
        <v>139.77000000000001</v>
      </c>
      <c r="I155">
        <v>0.15</v>
      </c>
      <c r="J155">
        <v>118.8</v>
      </c>
      <c r="K155">
        <v>87.21</v>
      </c>
      <c r="L155">
        <v>31.59</v>
      </c>
      <c r="M155" t="s">
        <v>18</v>
      </c>
      <c r="N155" t="str">
        <f t="shared" si="5"/>
        <v>OK</v>
      </c>
      <c r="O155" s="7" t="str">
        <f t="shared" si="6"/>
        <v>OK</v>
      </c>
    </row>
    <row r="156" spans="1:15">
      <c r="A156" t="s">
        <v>413</v>
      </c>
      <c r="B156" s="2">
        <v>45695</v>
      </c>
      <c r="C156" t="s">
        <v>414</v>
      </c>
      <c r="D156" t="s">
        <v>139</v>
      </c>
      <c r="E156" t="s">
        <v>16</v>
      </c>
      <c r="F156" t="s">
        <v>23</v>
      </c>
      <c r="G156">
        <v>3</v>
      </c>
      <c r="H156">
        <v>39.85</v>
      </c>
      <c r="I156">
        <v>0</v>
      </c>
      <c r="J156">
        <v>119.55</v>
      </c>
      <c r="K156">
        <v>69.28</v>
      </c>
      <c r="L156">
        <v>50.27</v>
      </c>
      <c r="M156" t="s">
        <v>18</v>
      </c>
      <c r="N156" t="str">
        <f t="shared" si="5"/>
        <v>OK</v>
      </c>
      <c r="O156" s="7" t="str">
        <f t="shared" si="6"/>
        <v>OK</v>
      </c>
    </row>
    <row r="157" spans="1:15">
      <c r="A157" t="s">
        <v>386</v>
      </c>
      <c r="B157" s="2">
        <v>45929</v>
      </c>
      <c r="C157" t="s">
        <v>224</v>
      </c>
      <c r="D157" t="s">
        <v>110</v>
      </c>
      <c r="E157" t="s">
        <v>35</v>
      </c>
      <c r="F157" t="s">
        <v>23</v>
      </c>
      <c r="G157">
        <v>5</v>
      </c>
      <c r="H157">
        <v>23.98</v>
      </c>
      <c r="I157">
        <v>0</v>
      </c>
      <c r="J157">
        <v>119.9</v>
      </c>
      <c r="K157">
        <v>94.29</v>
      </c>
      <c r="L157">
        <v>25.61</v>
      </c>
      <c r="M157" t="s">
        <v>18</v>
      </c>
      <c r="N157" t="str">
        <f t="shared" si="5"/>
        <v>OK</v>
      </c>
      <c r="O157" s="7" t="str">
        <f t="shared" si="6"/>
        <v>OK</v>
      </c>
    </row>
    <row r="158" spans="1:15">
      <c r="A158" t="s">
        <v>638</v>
      </c>
      <c r="B158" s="2">
        <v>45743</v>
      </c>
      <c r="C158" t="s">
        <v>266</v>
      </c>
      <c r="D158" t="s">
        <v>29</v>
      </c>
      <c r="E158" t="s">
        <v>22</v>
      </c>
      <c r="F158" t="s">
        <v>30</v>
      </c>
      <c r="G158">
        <v>1</v>
      </c>
      <c r="H158">
        <v>133.79</v>
      </c>
      <c r="I158">
        <v>0.1</v>
      </c>
      <c r="J158">
        <v>120.41</v>
      </c>
      <c r="K158">
        <v>93.41</v>
      </c>
      <c r="L158">
        <v>27</v>
      </c>
      <c r="M158" t="s">
        <v>31</v>
      </c>
      <c r="N158" t="str">
        <f t="shared" si="5"/>
        <v>OK</v>
      </c>
      <c r="O158" s="7" t="str">
        <f t="shared" si="6"/>
        <v>OK</v>
      </c>
    </row>
    <row r="159" spans="1:15">
      <c r="A159" t="s">
        <v>262</v>
      </c>
      <c r="B159" s="2">
        <v>46022</v>
      </c>
      <c r="C159" t="s">
        <v>234</v>
      </c>
      <c r="D159" t="s">
        <v>45</v>
      </c>
      <c r="E159" t="s">
        <v>22</v>
      </c>
      <c r="F159" t="s">
        <v>36</v>
      </c>
      <c r="G159">
        <v>4</v>
      </c>
      <c r="H159">
        <v>35.869999999999997</v>
      </c>
      <c r="I159">
        <v>0.15</v>
      </c>
      <c r="J159">
        <v>121.96</v>
      </c>
      <c r="K159">
        <v>98.05</v>
      </c>
      <c r="L159">
        <v>23.91</v>
      </c>
      <c r="M159" t="s">
        <v>18</v>
      </c>
      <c r="N159" t="str">
        <f t="shared" si="5"/>
        <v>OK</v>
      </c>
      <c r="O159" s="7" t="str">
        <f t="shared" si="6"/>
        <v>OK</v>
      </c>
    </row>
    <row r="160" spans="1:15">
      <c r="A160" t="s">
        <v>605</v>
      </c>
      <c r="B160" s="2">
        <v>45937</v>
      </c>
      <c r="C160" t="s">
        <v>454</v>
      </c>
      <c r="D160" t="s">
        <v>139</v>
      </c>
      <c r="E160" t="s">
        <v>16</v>
      </c>
      <c r="F160" t="s">
        <v>36</v>
      </c>
      <c r="G160">
        <v>3</v>
      </c>
      <c r="H160">
        <v>43.32</v>
      </c>
      <c r="I160">
        <v>0.05</v>
      </c>
      <c r="J160">
        <v>123.46</v>
      </c>
      <c r="K160">
        <v>77.849999999999994</v>
      </c>
      <c r="L160">
        <v>45.61</v>
      </c>
      <c r="M160" t="s">
        <v>24</v>
      </c>
      <c r="N160" t="str">
        <f t="shared" si="5"/>
        <v>OK</v>
      </c>
      <c r="O160" s="7" t="str">
        <f t="shared" si="6"/>
        <v>OK</v>
      </c>
    </row>
    <row r="161" spans="1:15">
      <c r="A161" t="s">
        <v>445</v>
      </c>
      <c r="B161" s="2">
        <v>45763</v>
      </c>
      <c r="C161" t="s">
        <v>390</v>
      </c>
      <c r="D161" t="s">
        <v>29</v>
      </c>
      <c r="E161" t="s">
        <v>22</v>
      </c>
      <c r="F161" t="s">
        <v>36</v>
      </c>
      <c r="G161">
        <v>1</v>
      </c>
      <c r="H161">
        <v>137.24</v>
      </c>
      <c r="I161">
        <v>0.1</v>
      </c>
      <c r="J161">
        <v>123.52</v>
      </c>
      <c r="K161">
        <v>103.38</v>
      </c>
      <c r="L161">
        <v>20.14</v>
      </c>
      <c r="M161" t="s">
        <v>24</v>
      </c>
      <c r="N161" t="str">
        <f t="shared" si="5"/>
        <v>OK</v>
      </c>
      <c r="O161" s="7" t="str">
        <f t="shared" si="6"/>
        <v>OK</v>
      </c>
    </row>
    <row r="162" spans="1:15">
      <c r="A162" t="s">
        <v>640</v>
      </c>
      <c r="B162" s="2">
        <v>45896</v>
      </c>
      <c r="C162" t="s">
        <v>38</v>
      </c>
      <c r="D162" t="s">
        <v>110</v>
      </c>
      <c r="E162" t="s">
        <v>35</v>
      </c>
      <c r="F162" t="s">
        <v>23</v>
      </c>
      <c r="G162">
        <v>1</v>
      </c>
      <c r="H162">
        <v>146.21</v>
      </c>
      <c r="I162">
        <v>0.15</v>
      </c>
      <c r="J162">
        <v>124.28</v>
      </c>
      <c r="K162">
        <v>75.94</v>
      </c>
      <c r="L162">
        <v>48.34</v>
      </c>
      <c r="M162" t="s">
        <v>24</v>
      </c>
      <c r="N162" t="str">
        <f t="shared" si="5"/>
        <v>OK</v>
      </c>
      <c r="O162" s="7" t="str">
        <f t="shared" si="6"/>
        <v>OK</v>
      </c>
    </row>
    <row r="163" spans="1:15">
      <c r="A163" t="s">
        <v>690</v>
      </c>
      <c r="B163" s="2">
        <v>45813</v>
      </c>
      <c r="C163" t="s">
        <v>691</v>
      </c>
      <c r="D163" t="s">
        <v>61</v>
      </c>
      <c r="E163" t="s">
        <v>42</v>
      </c>
      <c r="F163" t="s">
        <v>17</v>
      </c>
      <c r="G163">
        <v>3</v>
      </c>
      <c r="H163">
        <v>48.96</v>
      </c>
      <c r="I163">
        <v>0.15</v>
      </c>
      <c r="J163">
        <v>124.85</v>
      </c>
      <c r="K163">
        <v>86.2</v>
      </c>
      <c r="L163">
        <v>38.65</v>
      </c>
      <c r="M163" t="s">
        <v>18</v>
      </c>
      <c r="N163" t="str">
        <f t="shared" si="5"/>
        <v>OK</v>
      </c>
      <c r="O163" s="7" t="str">
        <f t="shared" si="6"/>
        <v>OK</v>
      </c>
    </row>
    <row r="164" spans="1:15">
      <c r="A164" t="s">
        <v>642</v>
      </c>
      <c r="B164" s="2">
        <v>45719</v>
      </c>
      <c r="C164" t="s">
        <v>60</v>
      </c>
      <c r="D164" t="s">
        <v>34</v>
      </c>
      <c r="E164" t="s">
        <v>35</v>
      </c>
      <c r="F164" t="s">
        <v>17</v>
      </c>
      <c r="G164">
        <v>2</v>
      </c>
      <c r="H164">
        <v>63.24</v>
      </c>
      <c r="I164">
        <v>0</v>
      </c>
      <c r="J164">
        <v>126.48</v>
      </c>
      <c r="K164">
        <v>82.86</v>
      </c>
      <c r="L164">
        <v>43.62</v>
      </c>
      <c r="M164" t="s">
        <v>18</v>
      </c>
      <c r="N164" t="str">
        <f t="shared" si="5"/>
        <v>OK</v>
      </c>
      <c r="O164" s="7" t="str">
        <f t="shared" si="6"/>
        <v>OK</v>
      </c>
    </row>
    <row r="165" spans="1:15">
      <c r="A165" t="s">
        <v>146</v>
      </c>
      <c r="B165" s="2">
        <v>45822</v>
      </c>
      <c r="C165" t="s">
        <v>147</v>
      </c>
      <c r="D165" t="s">
        <v>48</v>
      </c>
      <c r="E165" t="s">
        <v>35</v>
      </c>
      <c r="F165" t="s">
        <v>17</v>
      </c>
      <c r="G165">
        <v>2</v>
      </c>
      <c r="H165">
        <v>76.22</v>
      </c>
      <c r="I165">
        <v>0.15</v>
      </c>
      <c r="J165">
        <v>129.57</v>
      </c>
      <c r="K165">
        <v>76.959999999999994</v>
      </c>
      <c r="L165">
        <v>52.61</v>
      </c>
      <c r="M165" t="s">
        <v>31</v>
      </c>
      <c r="N165" t="str">
        <f t="shared" si="5"/>
        <v>OK</v>
      </c>
      <c r="O165" s="7" t="str">
        <f t="shared" si="6"/>
        <v>OK</v>
      </c>
    </row>
    <row r="166" spans="1:15">
      <c r="A166" t="s">
        <v>695</v>
      </c>
      <c r="B166" s="2">
        <v>45894</v>
      </c>
      <c r="C166" t="s">
        <v>377</v>
      </c>
      <c r="D166" t="s">
        <v>53</v>
      </c>
      <c r="E166" t="s">
        <v>42</v>
      </c>
      <c r="F166" t="s">
        <v>23</v>
      </c>
      <c r="G166">
        <v>1</v>
      </c>
      <c r="H166">
        <v>144.91</v>
      </c>
      <c r="I166">
        <v>0.1</v>
      </c>
      <c r="J166">
        <v>130.41999999999999</v>
      </c>
      <c r="K166">
        <v>80.16</v>
      </c>
      <c r="L166">
        <v>50.26</v>
      </c>
      <c r="M166" t="s">
        <v>24</v>
      </c>
      <c r="N166" t="str">
        <f t="shared" si="5"/>
        <v>OK</v>
      </c>
      <c r="O166" s="7" t="str">
        <f t="shared" si="6"/>
        <v>OK</v>
      </c>
    </row>
    <row r="167" spans="1:15">
      <c r="A167" t="s">
        <v>548</v>
      </c>
      <c r="B167" s="2">
        <v>45873</v>
      </c>
      <c r="C167" t="s">
        <v>114</v>
      </c>
      <c r="D167" t="s">
        <v>61</v>
      </c>
      <c r="E167" t="s">
        <v>42</v>
      </c>
      <c r="F167" t="s">
        <v>17</v>
      </c>
      <c r="G167">
        <v>1</v>
      </c>
      <c r="H167">
        <v>144.94999999999999</v>
      </c>
      <c r="I167">
        <v>0.1</v>
      </c>
      <c r="J167">
        <v>130.44999999999999</v>
      </c>
      <c r="K167">
        <v>73.150000000000006</v>
      </c>
      <c r="L167">
        <v>57.3</v>
      </c>
      <c r="M167" t="s">
        <v>18</v>
      </c>
      <c r="N167" t="str">
        <f t="shared" si="5"/>
        <v>Mismatch</v>
      </c>
      <c r="O167" s="7" t="str">
        <f t="shared" si="6"/>
        <v>OK</v>
      </c>
    </row>
    <row r="168" spans="1:15">
      <c r="A168" t="s">
        <v>328</v>
      </c>
      <c r="B168" s="2">
        <v>45962</v>
      </c>
      <c r="C168" t="s">
        <v>329</v>
      </c>
      <c r="D168" t="s">
        <v>53</v>
      </c>
      <c r="E168" t="s">
        <v>42</v>
      </c>
      <c r="F168" t="s">
        <v>30</v>
      </c>
      <c r="G168">
        <v>3</v>
      </c>
      <c r="H168">
        <v>45.94</v>
      </c>
      <c r="I168">
        <v>0.05</v>
      </c>
      <c r="J168">
        <v>130.93</v>
      </c>
      <c r="K168">
        <v>80.010000000000005</v>
      </c>
      <c r="L168">
        <v>50.92</v>
      </c>
      <c r="M168" t="s">
        <v>24</v>
      </c>
      <c r="N168" t="str">
        <f t="shared" si="5"/>
        <v>OK</v>
      </c>
      <c r="O168" s="7" t="str">
        <f t="shared" si="6"/>
        <v>OK</v>
      </c>
    </row>
    <row r="169" spans="1:15">
      <c r="A169" t="s">
        <v>672</v>
      </c>
      <c r="B169" s="2">
        <v>45755</v>
      </c>
      <c r="C169" t="s">
        <v>448</v>
      </c>
      <c r="D169" t="s">
        <v>21</v>
      </c>
      <c r="E169" t="s">
        <v>22</v>
      </c>
      <c r="F169" t="s">
        <v>17</v>
      </c>
      <c r="G169">
        <v>1</v>
      </c>
      <c r="H169">
        <v>154.63999999999999</v>
      </c>
      <c r="I169">
        <v>0.15</v>
      </c>
      <c r="J169">
        <v>131.44</v>
      </c>
      <c r="K169">
        <v>75.650000000000006</v>
      </c>
      <c r="L169">
        <v>55.79</v>
      </c>
      <c r="M169" t="s">
        <v>18</v>
      </c>
      <c r="N169" t="str">
        <f t="shared" si="5"/>
        <v>OK</v>
      </c>
      <c r="O169" s="7" t="str">
        <f t="shared" si="6"/>
        <v>OK</v>
      </c>
    </row>
    <row r="170" spans="1:15">
      <c r="A170" t="s">
        <v>309</v>
      </c>
      <c r="B170" s="2">
        <v>45678</v>
      </c>
      <c r="C170" t="s">
        <v>116</v>
      </c>
      <c r="D170" t="s">
        <v>61</v>
      </c>
      <c r="E170" t="s">
        <v>42</v>
      </c>
      <c r="F170" t="s">
        <v>23</v>
      </c>
      <c r="G170">
        <v>3</v>
      </c>
      <c r="H170">
        <v>55</v>
      </c>
      <c r="I170">
        <v>0.2</v>
      </c>
      <c r="J170">
        <v>132</v>
      </c>
      <c r="K170">
        <v>78.58</v>
      </c>
      <c r="L170">
        <v>53.42</v>
      </c>
      <c r="M170" t="s">
        <v>24</v>
      </c>
      <c r="N170" t="str">
        <f t="shared" si="5"/>
        <v>OK</v>
      </c>
      <c r="O170" s="7" t="str">
        <f t="shared" si="6"/>
        <v>OK</v>
      </c>
    </row>
    <row r="171" spans="1:15">
      <c r="A171" t="s">
        <v>57</v>
      </c>
      <c r="B171" s="2">
        <v>45864</v>
      </c>
      <c r="C171" t="s">
        <v>58</v>
      </c>
      <c r="D171" t="s">
        <v>53</v>
      </c>
      <c r="E171" t="s">
        <v>42</v>
      </c>
      <c r="F171" t="s">
        <v>36</v>
      </c>
      <c r="G171">
        <v>1</v>
      </c>
      <c r="H171">
        <v>132.13999999999999</v>
      </c>
      <c r="I171">
        <v>0</v>
      </c>
      <c r="J171">
        <v>132.13999999999999</v>
      </c>
      <c r="K171">
        <v>82.83</v>
      </c>
      <c r="L171">
        <v>49.31</v>
      </c>
      <c r="M171" t="s">
        <v>18</v>
      </c>
      <c r="N171" t="str">
        <f t="shared" si="5"/>
        <v>OK</v>
      </c>
      <c r="O171" s="7" t="str">
        <f t="shared" si="6"/>
        <v>OK</v>
      </c>
    </row>
    <row r="172" spans="1:15">
      <c r="A172" t="s">
        <v>158</v>
      </c>
      <c r="B172" s="2">
        <v>45813</v>
      </c>
      <c r="C172" t="s">
        <v>159</v>
      </c>
      <c r="D172" t="s">
        <v>45</v>
      </c>
      <c r="E172" t="s">
        <v>22</v>
      </c>
      <c r="F172" t="s">
        <v>23</v>
      </c>
      <c r="G172">
        <v>1</v>
      </c>
      <c r="H172">
        <v>165.42</v>
      </c>
      <c r="I172">
        <v>0.2</v>
      </c>
      <c r="J172">
        <v>132.34</v>
      </c>
      <c r="K172">
        <v>75.08</v>
      </c>
      <c r="L172">
        <v>57.26</v>
      </c>
      <c r="M172" t="s">
        <v>24</v>
      </c>
      <c r="N172" t="str">
        <f t="shared" si="5"/>
        <v>OK</v>
      </c>
      <c r="O172" s="7" t="str">
        <f t="shared" si="6"/>
        <v>OK</v>
      </c>
    </row>
    <row r="173" spans="1:15">
      <c r="A173" t="s">
        <v>623</v>
      </c>
      <c r="B173" s="2">
        <v>45759</v>
      </c>
      <c r="C173" t="s">
        <v>224</v>
      </c>
      <c r="D173" t="s">
        <v>29</v>
      </c>
      <c r="E173" t="s">
        <v>22</v>
      </c>
      <c r="F173" t="s">
        <v>30</v>
      </c>
      <c r="G173">
        <v>1</v>
      </c>
      <c r="H173">
        <v>139.47999999999999</v>
      </c>
      <c r="I173">
        <v>0.05</v>
      </c>
      <c r="J173">
        <v>132.51</v>
      </c>
      <c r="K173">
        <v>98.93</v>
      </c>
      <c r="L173">
        <v>33.58</v>
      </c>
      <c r="M173" t="s">
        <v>18</v>
      </c>
      <c r="N173" t="str">
        <f t="shared" si="5"/>
        <v>OK</v>
      </c>
      <c r="O173" s="7" t="str">
        <f t="shared" si="6"/>
        <v>OK</v>
      </c>
    </row>
    <row r="174" spans="1:15">
      <c r="A174" t="s">
        <v>241</v>
      </c>
      <c r="B174" s="2">
        <v>45819</v>
      </c>
      <c r="C174" t="s">
        <v>242</v>
      </c>
      <c r="D174" t="s">
        <v>53</v>
      </c>
      <c r="E174" t="s">
        <v>42</v>
      </c>
      <c r="F174" t="s">
        <v>30</v>
      </c>
      <c r="G174">
        <v>4</v>
      </c>
      <c r="H174">
        <v>39.29</v>
      </c>
      <c r="I174">
        <v>0.15</v>
      </c>
      <c r="J174">
        <v>133.59</v>
      </c>
      <c r="K174">
        <v>111.39</v>
      </c>
      <c r="L174">
        <v>22.2</v>
      </c>
      <c r="M174" t="s">
        <v>18</v>
      </c>
      <c r="N174" t="str">
        <f t="shared" si="5"/>
        <v>OK</v>
      </c>
      <c r="O174" s="7" t="str">
        <f t="shared" si="6"/>
        <v>OK</v>
      </c>
    </row>
    <row r="175" spans="1:15">
      <c r="A175" t="s">
        <v>246</v>
      </c>
      <c r="B175" s="2">
        <v>45822</v>
      </c>
      <c r="C175" t="s">
        <v>176</v>
      </c>
      <c r="D175" t="s">
        <v>77</v>
      </c>
      <c r="E175" t="s">
        <v>22</v>
      </c>
      <c r="F175" t="s">
        <v>17</v>
      </c>
      <c r="G175">
        <v>3</v>
      </c>
      <c r="H175">
        <v>49.83</v>
      </c>
      <c r="I175">
        <v>0.1</v>
      </c>
      <c r="J175">
        <v>134.54</v>
      </c>
      <c r="K175">
        <v>108.53</v>
      </c>
      <c r="L175">
        <v>26.01</v>
      </c>
      <c r="M175" t="s">
        <v>18</v>
      </c>
      <c r="N175" t="str">
        <f t="shared" si="5"/>
        <v>OK</v>
      </c>
      <c r="O175" s="7" t="str">
        <f t="shared" si="6"/>
        <v>OK</v>
      </c>
    </row>
    <row r="176" spans="1:15">
      <c r="A176" t="s">
        <v>165</v>
      </c>
      <c r="B176" s="2">
        <v>45998</v>
      </c>
      <c r="C176" t="s">
        <v>166</v>
      </c>
      <c r="D176" t="s">
        <v>15</v>
      </c>
      <c r="E176" t="s">
        <v>16</v>
      </c>
      <c r="F176" t="s">
        <v>17</v>
      </c>
      <c r="G176">
        <v>1</v>
      </c>
      <c r="H176">
        <v>141.75</v>
      </c>
      <c r="I176">
        <v>0.05</v>
      </c>
      <c r="J176">
        <v>134.66</v>
      </c>
      <c r="K176">
        <v>113.87</v>
      </c>
      <c r="L176">
        <v>20.79</v>
      </c>
      <c r="M176" t="s">
        <v>18</v>
      </c>
      <c r="N176" t="str">
        <f t="shared" si="5"/>
        <v>OK</v>
      </c>
      <c r="O176" s="7" t="str">
        <f t="shared" si="6"/>
        <v>OK</v>
      </c>
    </row>
    <row r="177" spans="1:15">
      <c r="A177" t="s">
        <v>433</v>
      </c>
      <c r="B177" s="2">
        <v>45811</v>
      </c>
      <c r="C177" t="s">
        <v>100</v>
      </c>
      <c r="D177" t="s">
        <v>88</v>
      </c>
      <c r="E177" t="s">
        <v>16</v>
      </c>
      <c r="F177" t="s">
        <v>36</v>
      </c>
      <c r="G177">
        <v>2</v>
      </c>
      <c r="H177">
        <v>71.349999999999994</v>
      </c>
      <c r="I177">
        <v>0.05</v>
      </c>
      <c r="J177">
        <v>135.56</v>
      </c>
      <c r="K177">
        <v>103.92</v>
      </c>
      <c r="L177">
        <v>31.64</v>
      </c>
      <c r="M177" t="s">
        <v>18</v>
      </c>
      <c r="N177" t="str">
        <f t="shared" si="5"/>
        <v>OK</v>
      </c>
      <c r="O177" s="7" t="str">
        <f t="shared" si="6"/>
        <v>OK</v>
      </c>
    </row>
    <row r="178" spans="1:15">
      <c r="A178" t="s">
        <v>632</v>
      </c>
      <c r="B178" s="2">
        <v>45891</v>
      </c>
      <c r="C178" t="s">
        <v>480</v>
      </c>
      <c r="D178" t="s">
        <v>56</v>
      </c>
      <c r="E178" t="s">
        <v>16</v>
      </c>
      <c r="F178" t="s">
        <v>17</v>
      </c>
      <c r="G178">
        <v>2</v>
      </c>
      <c r="H178">
        <v>68.930000000000007</v>
      </c>
      <c r="I178">
        <v>0</v>
      </c>
      <c r="J178">
        <v>137.86000000000001</v>
      </c>
      <c r="K178">
        <v>85.02</v>
      </c>
      <c r="L178">
        <v>52.84</v>
      </c>
      <c r="M178" t="s">
        <v>18</v>
      </c>
      <c r="N178" t="str">
        <f t="shared" si="5"/>
        <v>OK</v>
      </c>
      <c r="O178" s="7" t="str">
        <f t="shared" si="6"/>
        <v>OK</v>
      </c>
    </row>
    <row r="179" spans="1:15">
      <c r="A179" t="s">
        <v>436</v>
      </c>
      <c r="B179" s="2">
        <v>45809</v>
      </c>
      <c r="C179" t="s">
        <v>164</v>
      </c>
      <c r="D179" t="s">
        <v>41</v>
      </c>
      <c r="E179" t="s">
        <v>42</v>
      </c>
      <c r="F179" t="s">
        <v>23</v>
      </c>
      <c r="G179">
        <v>3</v>
      </c>
      <c r="H179">
        <v>54.41</v>
      </c>
      <c r="I179">
        <v>0.15</v>
      </c>
      <c r="J179">
        <v>138.75</v>
      </c>
      <c r="K179">
        <v>97.05</v>
      </c>
      <c r="L179">
        <v>41.7</v>
      </c>
      <c r="M179" t="s">
        <v>18</v>
      </c>
      <c r="N179" t="str">
        <f t="shared" si="5"/>
        <v>OK</v>
      </c>
      <c r="O179" s="7" t="str">
        <f t="shared" si="6"/>
        <v>OK</v>
      </c>
    </row>
    <row r="180" spans="1:15">
      <c r="A180" t="s">
        <v>428</v>
      </c>
      <c r="B180" s="2">
        <v>46021</v>
      </c>
      <c r="C180" t="s">
        <v>185</v>
      </c>
      <c r="D180" t="s">
        <v>15</v>
      </c>
      <c r="E180" t="s">
        <v>16</v>
      </c>
      <c r="F180" t="s">
        <v>17</v>
      </c>
      <c r="G180">
        <v>1</v>
      </c>
      <c r="H180">
        <v>138.91</v>
      </c>
      <c r="I180">
        <v>0</v>
      </c>
      <c r="J180">
        <v>138.91</v>
      </c>
      <c r="K180">
        <v>95.63</v>
      </c>
      <c r="L180">
        <v>43.28</v>
      </c>
      <c r="M180" t="s">
        <v>18</v>
      </c>
      <c r="N180" t="str">
        <f t="shared" si="5"/>
        <v>OK</v>
      </c>
      <c r="O180" s="7" t="str">
        <f t="shared" si="6"/>
        <v>OK</v>
      </c>
    </row>
    <row r="181" spans="1:15">
      <c r="A181" t="s">
        <v>349</v>
      </c>
      <c r="B181" s="2">
        <v>45998</v>
      </c>
      <c r="C181" t="s">
        <v>83</v>
      </c>
      <c r="D181" t="s">
        <v>77</v>
      </c>
      <c r="E181" t="s">
        <v>22</v>
      </c>
      <c r="F181" t="s">
        <v>17</v>
      </c>
      <c r="G181">
        <v>5</v>
      </c>
      <c r="H181">
        <v>32.69</v>
      </c>
      <c r="I181">
        <v>0.15</v>
      </c>
      <c r="J181">
        <v>138.93</v>
      </c>
      <c r="K181">
        <v>106.96</v>
      </c>
      <c r="L181">
        <v>31.97</v>
      </c>
      <c r="M181" t="s">
        <v>18</v>
      </c>
      <c r="N181" t="str">
        <f t="shared" si="5"/>
        <v>OK</v>
      </c>
      <c r="O181" s="7" t="str">
        <f t="shared" si="6"/>
        <v>OK</v>
      </c>
    </row>
    <row r="182" spans="1:15">
      <c r="A182" t="s">
        <v>637</v>
      </c>
      <c r="B182" s="2">
        <v>45774</v>
      </c>
      <c r="C182" t="s">
        <v>76</v>
      </c>
      <c r="D182" t="s">
        <v>110</v>
      </c>
      <c r="E182" t="s">
        <v>35</v>
      </c>
      <c r="F182" t="s">
        <v>36</v>
      </c>
      <c r="G182">
        <v>1</v>
      </c>
      <c r="H182">
        <v>155.46</v>
      </c>
      <c r="I182">
        <v>0.1</v>
      </c>
      <c r="J182">
        <v>139.91</v>
      </c>
      <c r="K182">
        <v>94.08</v>
      </c>
      <c r="L182">
        <v>45.83</v>
      </c>
      <c r="M182" t="s">
        <v>31</v>
      </c>
      <c r="N182" t="str">
        <f t="shared" si="5"/>
        <v>OK</v>
      </c>
      <c r="O182" s="7" t="str">
        <f t="shared" si="6"/>
        <v>OK</v>
      </c>
    </row>
    <row r="183" spans="1:15">
      <c r="A183" t="s">
        <v>628</v>
      </c>
      <c r="B183" s="2">
        <v>45970</v>
      </c>
      <c r="C183" t="s">
        <v>629</v>
      </c>
      <c r="D183" t="s">
        <v>56</v>
      </c>
      <c r="E183" t="s">
        <v>16</v>
      </c>
      <c r="F183" t="s">
        <v>36</v>
      </c>
      <c r="G183">
        <v>1</v>
      </c>
      <c r="H183">
        <v>155.72</v>
      </c>
      <c r="I183">
        <v>0.1</v>
      </c>
      <c r="J183">
        <v>140.15</v>
      </c>
      <c r="K183">
        <v>112.31</v>
      </c>
      <c r="L183">
        <v>27.84</v>
      </c>
      <c r="M183" t="s">
        <v>18</v>
      </c>
      <c r="N183" t="str">
        <f t="shared" si="5"/>
        <v>OK</v>
      </c>
      <c r="O183" s="7" t="str">
        <f t="shared" si="6"/>
        <v>OK</v>
      </c>
    </row>
    <row r="184" spans="1:15">
      <c r="A184" t="s">
        <v>318</v>
      </c>
      <c r="B184" s="2">
        <v>45745</v>
      </c>
      <c r="C184" t="s">
        <v>161</v>
      </c>
      <c r="D184" t="s">
        <v>88</v>
      </c>
      <c r="E184" t="s">
        <v>16</v>
      </c>
      <c r="F184" t="s">
        <v>30</v>
      </c>
      <c r="G184">
        <v>1</v>
      </c>
      <c r="H184">
        <v>155.94</v>
      </c>
      <c r="I184">
        <v>0.1</v>
      </c>
      <c r="J184">
        <v>140.35</v>
      </c>
      <c r="K184">
        <v>78.86</v>
      </c>
      <c r="L184">
        <v>61.49</v>
      </c>
      <c r="M184" t="s">
        <v>18</v>
      </c>
      <c r="N184" t="str">
        <f t="shared" si="5"/>
        <v>OK</v>
      </c>
      <c r="O184" s="7" t="str">
        <f t="shared" si="6"/>
        <v>OK</v>
      </c>
    </row>
    <row r="185" spans="1:15">
      <c r="A185" t="s">
        <v>340</v>
      </c>
      <c r="B185" s="2">
        <v>45667</v>
      </c>
      <c r="C185" t="s">
        <v>157</v>
      </c>
      <c r="D185" t="s">
        <v>70</v>
      </c>
      <c r="E185" t="s">
        <v>35</v>
      </c>
      <c r="F185" t="s">
        <v>36</v>
      </c>
      <c r="G185">
        <v>1</v>
      </c>
      <c r="H185">
        <v>141.04</v>
      </c>
      <c r="I185">
        <v>0</v>
      </c>
      <c r="J185">
        <v>141.04</v>
      </c>
      <c r="K185">
        <v>118.61</v>
      </c>
      <c r="L185">
        <v>22.43</v>
      </c>
      <c r="M185" t="s">
        <v>18</v>
      </c>
      <c r="N185" t="str">
        <f t="shared" si="5"/>
        <v>OK</v>
      </c>
      <c r="O185" s="7" t="str">
        <f t="shared" si="6"/>
        <v>OK</v>
      </c>
    </row>
    <row r="186" spans="1:15">
      <c r="A186" t="s">
        <v>313</v>
      </c>
      <c r="B186" s="2">
        <v>45856</v>
      </c>
      <c r="C186" t="s">
        <v>314</v>
      </c>
      <c r="D186" t="s">
        <v>77</v>
      </c>
      <c r="E186" t="s">
        <v>22</v>
      </c>
      <c r="F186" t="s">
        <v>30</v>
      </c>
      <c r="G186">
        <v>1</v>
      </c>
      <c r="H186">
        <v>157.4</v>
      </c>
      <c r="I186">
        <v>0.1</v>
      </c>
      <c r="J186">
        <v>141.66</v>
      </c>
      <c r="K186">
        <v>110.68</v>
      </c>
      <c r="L186">
        <v>30.98</v>
      </c>
      <c r="M186" t="s">
        <v>18</v>
      </c>
      <c r="N186" t="str">
        <f t="shared" si="5"/>
        <v>OK</v>
      </c>
      <c r="O186" s="7" t="str">
        <f t="shared" si="6"/>
        <v>OK</v>
      </c>
    </row>
    <row r="187" spans="1:15">
      <c r="A187" t="s">
        <v>354</v>
      </c>
      <c r="B187" s="2">
        <v>45981</v>
      </c>
      <c r="C187" t="s">
        <v>355</v>
      </c>
      <c r="D187" t="s">
        <v>70</v>
      </c>
      <c r="E187" t="s">
        <v>35</v>
      </c>
      <c r="F187" t="s">
        <v>30</v>
      </c>
      <c r="G187">
        <v>1</v>
      </c>
      <c r="H187">
        <v>157.77000000000001</v>
      </c>
      <c r="I187">
        <v>0.1</v>
      </c>
      <c r="J187">
        <v>141.99</v>
      </c>
      <c r="K187">
        <v>102.25</v>
      </c>
      <c r="L187">
        <v>39.74</v>
      </c>
      <c r="M187" t="s">
        <v>18</v>
      </c>
      <c r="N187" t="str">
        <f t="shared" si="5"/>
        <v>OK</v>
      </c>
      <c r="O187" s="7" t="str">
        <f t="shared" si="6"/>
        <v>OK</v>
      </c>
    </row>
    <row r="188" spans="1:15">
      <c r="A188" t="s">
        <v>490</v>
      </c>
      <c r="B188" s="2">
        <v>45867</v>
      </c>
      <c r="C188" t="s">
        <v>180</v>
      </c>
      <c r="D188" t="s">
        <v>61</v>
      </c>
      <c r="E188" t="s">
        <v>42</v>
      </c>
      <c r="F188" t="s">
        <v>30</v>
      </c>
      <c r="G188">
        <v>2</v>
      </c>
      <c r="H188">
        <v>89.34</v>
      </c>
      <c r="I188">
        <v>0.2</v>
      </c>
      <c r="J188">
        <v>142.94</v>
      </c>
      <c r="K188">
        <v>90.15</v>
      </c>
      <c r="L188">
        <v>52.79</v>
      </c>
      <c r="M188" t="s">
        <v>18</v>
      </c>
      <c r="N188" t="str">
        <f t="shared" si="5"/>
        <v>OK</v>
      </c>
      <c r="O188" s="7" t="str">
        <f t="shared" si="6"/>
        <v>OK</v>
      </c>
    </row>
    <row r="189" spans="1:15">
      <c r="A189" t="s">
        <v>686</v>
      </c>
      <c r="B189" s="2">
        <v>45733</v>
      </c>
      <c r="C189" t="s">
        <v>280</v>
      </c>
      <c r="D189" t="s">
        <v>110</v>
      </c>
      <c r="E189" t="s">
        <v>35</v>
      </c>
      <c r="F189" t="s">
        <v>17</v>
      </c>
      <c r="G189">
        <v>1</v>
      </c>
      <c r="H189">
        <v>143.13</v>
      </c>
      <c r="I189">
        <v>0</v>
      </c>
      <c r="J189">
        <v>143.13</v>
      </c>
      <c r="K189">
        <v>119.04</v>
      </c>
      <c r="L189">
        <v>24.09</v>
      </c>
      <c r="M189" t="s">
        <v>18</v>
      </c>
      <c r="N189" t="str">
        <f t="shared" si="5"/>
        <v>OK</v>
      </c>
      <c r="O189" s="7" t="str">
        <f t="shared" si="6"/>
        <v>OK</v>
      </c>
    </row>
    <row r="190" spans="1:15">
      <c r="A190" t="s">
        <v>574</v>
      </c>
      <c r="B190" s="2">
        <v>45739</v>
      </c>
      <c r="C190" t="s">
        <v>575</v>
      </c>
      <c r="D190" t="s">
        <v>41</v>
      </c>
      <c r="E190" t="s">
        <v>42</v>
      </c>
      <c r="F190" t="s">
        <v>30</v>
      </c>
      <c r="G190">
        <v>1</v>
      </c>
      <c r="H190">
        <v>143.46</v>
      </c>
      <c r="I190">
        <v>0</v>
      </c>
      <c r="J190">
        <v>143.46</v>
      </c>
      <c r="K190">
        <v>103.18</v>
      </c>
      <c r="L190">
        <v>40.28</v>
      </c>
      <c r="M190" t="s">
        <v>18</v>
      </c>
      <c r="N190" t="str">
        <f t="shared" si="5"/>
        <v>OK</v>
      </c>
      <c r="O190" s="7" t="str">
        <f t="shared" si="6"/>
        <v>OK</v>
      </c>
    </row>
    <row r="191" spans="1:15">
      <c r="A191" t="s">
        <v>123</v>
      </c>
      <c r="B191" s="2">
        <v>45942</v>
      </c>
      <c r="C191" t="s">
        <v>122</v>
      </c>
      <c r="D191" t="s">
        <v>34</v>
      </c>
      <c r="E191" t="s">
        <v>35</v>
      </c>
      <c r="F191" t="s">
        <v>17</v>
      </c>
      <c r="G191">
        <v>3</v>
      </c>
      <c r="H191">
        <v>50.61</v>
      </c>
      <c r="I191">
        <v>0.05</v>
      </c>
      <c r="J191">
        <v>144.24</v>
      </c>
      <c r="K191">
        <v>112.13</v>
      </c>
      <c r="L191">
        <v>32.11</v>
      </c>
      <c r="M191" t="s">
        <v>18</v>
      </c>
      <c r="N191" t="str">
        <f t="shared" si="5"/>
        <v>OK</v>
      </c>
      <c r="O191" s="7" t="str">
        <f t="shared" si="6"/>
        <v>OK</v>
      </c>
    </row>
    <row r="192" spans="1:15">
      <c r="A192" t="s">
        <v>620</v>
      </c>
      <c r="B192" s="2">
        <v>45915</v>
      </c>
      <c r="C192" t="s">
        <v>120</v>
      </c>
      <c r="D192" t="s">
        <v>29</v>
      </c>
      <c r="E192" t="s">
        <v>22</v>
      </c>
      <c r="F192" t="s">
        <v>17</v>
      </c>
      <c r="G192">
        <v>1</v>
      </c>
      <c r="H192">
        <v>162</v>
      </c>
      <c r="I192">
        <v>0.1</v>
      </c>
      <c r="J192">
        <v>145.80000000000001</v>
      </c>
      <c r="K192">
        <v>114.63</v>
      </c>
      <c r="L192">
        <v>31.17</v>
      </c>
      <c r="M192" t="s">
        <v>31</v>
      </c>
      <c r="N192" t="str">
        <f t="shared" si="5"/>
        <v>OK</v>
      </c>
      <c r="O192" s="7" t="str">
        <f t="shared" si="6"/>
        <v>OK</v>
      </c>
    </row>
    <row r="193" spans="1:15">
      <c r="A193" t="s">
        <v>571</v>
      </c>
      <c r="B193" s="2">
        <v>45812</v>
      </c>
      <c r="C193" t="s">
        <v>67</v>
      </c>
      <c r="D193" t="s">
        <v>77</v>
      </c>
      <c r="E193" t="s">
        <v>22</v>
      </c>
      <c r="F193" t="s">
        <v>30</v>
      </c>
      <c r="G193">
        <v>4</v>
      </c>
      <c r="H193">
        <v>38.6</v>
      </c>
      <c r="I193">
        <v>0.05</v>
      </c>
      <c r="J193">
        <v>146.68</v>
      </c>
      <c r="K193">
        <v>116.24</v>
      </c>
      <c r="L193">
        <v>30.44</v>
      </c>
      <c r="M193" t="s">
        <v>31</v>
      </c>
      <c r="N193" t="str">
        <f t="shared" si="5"/>
        <v>OK</v>
      </c>
      <c r="O193" s="7" t="str">
        <f t="shared" si="6"/>
        <v>OK</v>
      </c>
    </row>
    <row r="194" spans="1:15">
      <c r="A194" t="s">
        <v>446</v>
      </c>
      <c r="B194" s="2">
        <v>45874</v>
      </c>
      <c r="C194" t="s">
        <v>432</v>
      </c>
      <c r="D194" t="s">
        <v>45</v>
      </c>
      <c r="E194" t="s">
        <v>22</v>
      </c>
      <c r="F194" t="s">
        <v>23</v>
      </c>
      <c r="G194">
        <v>3</v>
      </c>
      <c r="H194">
        <v>55.41</v>
      </c>
      <c r="I194">
        <v>0.1</v>
      </c>
      <c r="J194">
        <v>149.61000000000001</v>
      </c>
      <c r="K194">
        <v>126.04</v>
      </c>
      <c r="L194">
        <v>23.57</v>
      </c>
      <c r="M194" t="s">
        <v>18</v>
      </c>
      <c r="N194" t="str">
        <f t="shared" ref="N194:N257" si="7">IF(ABS(ROUND(G194*H194*(1-I194),2)-J194)&lt;=0.01,"OK","Mismatch")</f>
        <v>OK</v>
      </c>
      <c r="O194" s="7" t="str">
        <f t="shared" ref="O194:O257" si="8">IF(ROUND(J194-K194,2)=ROUND(L194,2),"OK","Mismatch")</f>
        <v>OK</v>
      </c>
    </row>
    <row r="195" spans="1:15">
      <c r="A195" t="s">
        <v>299</v>
      </c>
      <c r="B195" s="2">
        <v>45815</v>
      </c>
      <c r="C195" t="s">
        <v>150</v>
      </c>
      <c r="D195" t="s">
        <v>88</v>
      </c>
      <c r="E195" t="s">
        <v>16</v>
      </c>
      <c r="F195" t="s">
        <v>17</v>
      </c>
      <c r="G195">
        <v>2</v>
      </c>
      <c r="H195">
        <v>88.06</v>
      </c>
      <c r="I195">
        <v>0.15</v>
      </c>
      <c r="J195">
        <v>149.69999999999999</v>
      </c>
      <c r="K195">
        <v>82.57</v>
      </c>
      <c r="L195">
        <v>67.13</v>
      </c>
      <c r="M195" t="s">
        <v>18</v>
      </c>
      <c r="N195" t="str">
        <f t="shared" si="7"/>
        <v>OK</v>
      </c>
      <c r="O195" s="7" t="str">
        <f t="shared" si="8"/>
        <v>OK</v>
      </c>
    </row>
    <row r="196" spans="1:15">
      <c r="A196" t="s">
        <v>523</v>
      </c>
      <c r="B196" s="2">
        <v>45820</v>
      </c>
      <c r="C196" t="s">
        <v>52</v>
      </c>
      <c r="D196" t="s">
        <v>53</v>
      </c>
      <c r="E196" t="s">
        <v>42</v>
      </c>
      <c r="F196" t="s">
        <v>17</v>
      </c>
      <c r="G196">
        <v>2</v>
      </c>
      <c r="H196">
        <v>84.27</v>
      </c>
      <c r="I196">
        <v>0.1</v>
      </c>
      <c r="J196">
        <v>151.69</v>
      </c>
      <c r="K196">
        <v>110.34</v>
      </c>
      <c r="L196">
        <v>41.35</v>
      </c>
      <c r="M196" t="s">
        <v>31</v>
      </c>
      <c r="N196" t="str">
        <f t="shared" si="7"/>
        <v>OK</v>
      </c>
      <c r="O196" s="7" t="str">
        <f t="shared" si="8"/>
        <v>OK</v>
      </c>
    </row>
    <row r="197" spans="1:15">
      <c r="A197" t="s">
        <v>195</v>
      </c>
      <c r="B197" s="2">
        <v>45802</v>
      </c>
      <c r="C197" t="s">
        <v>196</v>
      </c>
      <c r="D197" t="s">
        <v>77</v>
      </c>
      <c r="E197" t="s">
        <v>22</v>
      </c>
      <c r="F197" t="s">
        <v>23</v>
      </c>
      <c r="G197">
        <v>1</v>
      </c>
      <c r="H197">
        <v>152.6</v>
      </c>
      <c r="I197">
        <v>0</v>
      </c>
      <c r="J197">
        <v>152.6</v>
      </c>
      <c r="K197">
        <v>108.44</v>
      </c>
      <c r="L197">
        <v>44.16</v>
      </c>
      <c r="M197" t="s">
        <v>18</v>
      </c>
      <c r="N197" t="str">
        <f t="shared" si="7"/>
        <v>OK</v>
      </c>
      <c r="O197" s="7" t="str">
        <f t="shared" si="8"/>
        <v>OK</v>
      </c>
    </row>
    <row r="198" spans="1:15">
      <c r="A198" t="s">
        <v>409</v>
      </c>
      <c r="B198" s="2">
        <v>45941</v>
      </c>
      <c r="C198" t="s">
        <v>172</v>
      </c>
      <c r="D198" t="s">
        <v>21</v>
      </c>
      <c r="E198" t="s">
        <v>22</v>
      </c>
      <c r="F198" t="s">
        <v>23</v>
      </c>
      <c r="G198">
        <v>1</v>
      </c>
      <c r="H198">
        <v>152.63</v>
      </c>
      <c r="I198">
        <v>0</v>
      </c>
      <c r="J198">
        <v>152.63</v>
      </c>
      <c r="K198">
        <v>125.24</v>
      </c>
      <c r="L198">
        <v>27.39</v>
      </c>
      <c r="M198" t="s">
        <v>31</v>
      </c>
      <c r="N198" t="str">
        <f t="shared" si="7"/>
        <v>OK</v>
      </c>
      <c r="O198" s="7" t="str">
        <f t="shared" si="8"/>
        <v>OK</v>
      </c>
    </row>
    <row r="199" spans="1:15">
      <c r="A199" t="s">
        <v>124</v>
      </c>
      <c r="B199" s="2">
        <v>45696</v>
      </c>
      <c r="C199" t="s">
        <v>125</v>
      </c>
      <c r="D199" t="s">
        <v>110</v>
      </c>
      <c r="E199" t="s">
        <v>35</v>
      </c>
      <c r="F199" t="s">
        <v>30</v>
      </c>
      <c r="G199">
        <v>4</v>
      </c>
      <c r="H199">
        <v>38.159999999999997</v>
      </c>
      <c r="I199">
        <v>0</v>
      </c>
      <c r="J199">
        <v>152.63999999999999</v>
      </c>
      <c r="K199">
        <v>118.91</v>
      </c>
      <c r="L199">
        <v>33.729999999999997</v>
      </c>
      <c r="M199" t="s">
        <v>31</v>
      </c>
      <c r="N199" t="str">
        <f t="shared" si="7"/>
        <v>OK</v>
      </c>
      <c r="O199" s="7" t="str">
        <f t="shared" si="8"/>
        <v>OK</v>
      </c>
    </row>
    <row r="200" spans="1:15">
      <c r="A200" t="s">
        <v>231</v>
      </c>
      <c r="B200" s="2">
        <v>46021</v>
      </c>
      <c r="C200" t="s">
        <v>232</v>
      </c>
      <c r="D200" t="s">
        <v>41</v>
      </c>
      <c r="E200" t="s">
        <v>42</v>
      </c>
      <c r="F200" t="s">
        <v>36</v>
      </c>
      <c r="G200">
        <v>2</v>
      </c>
      <c r="H200">
        <v>90.7</v>
      </c>
      <c r="I200">
        <v>0.15</v>
      </c>
      <c r="J200">
        <v>154.19</v>
      </c>
      <c r="K200">
        <v>111.96</v>
      </c>
      <c r="L200">
        <v>42.23</v>
      </c>
      <c r="M200" t="s">
        <v>18</v>
      </c>
      <c r="N200" t="str">
        <f t="shared" si="7"/>
        <v>OK</v>
      </c>
      <c r="O200" s="7" t="str">
        <f t="shared" si="8"/>
        <v>OK</v>
      </c>
    </row>
    <row r="201" spans="1:15">
      <c r="A201" t="s">
        <v>306</v>
      </c>
      <c r="B201" s="2">
        <v>45942</v>
      </c>
      <c r="C201" t="s">
        <v>307</v>
      </c>
      <c r="D201" t="s">
        <v>15</v>
      </c>
      <c r="E201" t="s">
        <v>16</v>
      </c>
      <c r="F201" t="s">
        <v>30</v>
      </c>
      <c r="G201">
        <v>3</v>
      </c>
      <c r="H201">
        <v>51.43</v>
      </c>
      <c r="I201">
        <v>0</v>
      </c>
      <c r="J201">
        <v>154.29</v>
      </c>
      <c r="K201">
        <v>92.22</v>
      </c>
      <c r="L201">
        <v>62.07</v>
      </c>
      <c r="M201" t="s">
        <v>18</v>
      </c>
      <c r="N201" t="str">
        <f t="shared" si="7"/>
        <v>OK</v>
      </c>
      <c r="O201" s="7" t="str">
        <f t="shared" si="8"/>
        <v>OK</v>
      </c>
    </row>
    <row r="202" spans="1:15">
      <c r="A202" t="s">
        <v>283</v>
      </c>
      <c r="B202" s="2">
        <v>45855</v>
      </c>
      <c r="C202" t="s">
        <v>150</v>
      </c>
      <c r="D202" t="s">
        <v>48</v>
      </c>
      <c r="E202" t="s">
        <v>35</v>
      </c>
      <c r="F202" t="s">
        <v>23</v>
      </c>
      <c r="G202">
        <v>4</v>
      </c>
      <c r="H202">
        <v>45.54</v>
      </c>
      <c r="I202">
        <v>0.15</v>
      </c>
      <c r="J202">
        <v>154.84</v>
      </c>
      <c r="K202">
        <v>121.69</v>
      </c>
      <c r="L202">
        <v>33.15</v>
      </c>
      <c r="M202" t="s">
        <v>18</v>
      </c>
      <c r="N202" t="str">
        <f t="shared" si="7"/>
        <v>OK</v>
      </c>
      <c r="O202" s="7" t="str">
        <f t="shared" si="8"/>
        <v>OK</v>
      </c>
    </row>
    <row r="203" spans="1:15">
      <c r="A203" t="s">
        <v>412</v>
      </c>
      <c r="B203" s="2">
        <v>45796</v>
      </c>
      <c r="C203" t="s">
        <v>191</v>
      </c>
      <c r="D203" t="s">
        <v>15</v>
      </c>
      <c r="E203" t="s">
        <v>16</v>
      </c>
      <c r="F203" t="s">
        <v>17</v>
      </c>
      <c r="G203">
        <v>1</v>
      </c>
      <c r="H203">
        <v>172.52</v>
      </c>
      <c r="I203">
        <v>0.1</v>
      </c>
      <c r="J203">
        <v>155.27000000000001</v>
      </c>
      <c r="K203">
        <v>101.85</v>
      </c>
      <c r="L203">
        <v>53.42</v>
      </c>
      <c r="M203" t="s">
        <v>24</v>
      </c>
      <c r="N203" t="str">
        <f t="shared" si="7"/>
        <v>OK</v>
      </c>
      <c r="O203" s="7" t="str">
        <f t="shared" si="8"/>
        <v>OK</v>
      </c>
    </row>
    <row r="204" spans="1:15">
      <c r="A204" t="s">
        <v>317</v>
      </c>
      <c r="B204" s="2">
        <v>45752</v>
      </c>
      <c r="C204" t="s">
        <v>147</v>
      </c>
      <c r="D204" t="s">
        <v>45</v>
      </c>
      <c r="E204" t="s">
        <v>22</v>
      </c>
      <c r="F204" t="s">
        <v>23</v>
      </c>
      <c r="G204">
        <v>5</v>
      </c>
      <c r="H204">
        <v>33.729999999999997</v>
      </c>
      <c r="I204">
        <v>0.05</v>
      </c>
      <c r="J204">
        <v>160.22</v>
      </c>
      <c r="K204">
        <v>120.83</v>
      </c>
      <c r="L204">
        <v>39.39</v>
      </c>
      <c r="M204" t="s">
        <v>18</v>
      </c>
      <c r="N204" t="str">
        <f t="shared" si="7"/>
        <v>OK</v>
      </c>
      <c r="O204" s="7" t="str">
        <f t="shared" si="8"/>
        <v>OK</v>
      </c>
    </row>
    <row r="205" spans="1:15">
      <c r="A205" t="s">
        <v>272</v>
      </c>
      <c r="B205" s="2">
        <v>45765</v>
      </c>
      <c r="C205" t="s">
        <v>273</v>
      </c>
      <c r="D205" t="s">
        <v>61</v>
      </c>
      <c r="E205" t="s">
        <v>42</v>
      </c>
      <c r="F205" t="s">
        <v>36</v>
      </c>
      <c r="G205">
        <v>3</v>
      </c>
      <c r="H205">
        <v>62.89</v>
      </c>
      <c r="I205">
        <v>0.15</v>
      </c>
      <c r="J205">
        <v>160.37</v>
      </c>
      <c r="K205">
        <v>89.98</v>
      </c>
      <c r="L205">
        <v>70.39</v>
      </c>
      <c r="M205" t="s">
        <v>18</v>
      </c>
      <c r="N205" t="str">
        <f t="shared" si="7"/>
        <v>OK</v>
      </c>
      <c r="O205" s="7" t="str">
        <f t="shared" si="8"/>
        <v>OK</v>
      </c>
    </row>
    <row r="206" spans="1:15">
      <c r="A206" t="s">
        <v>639</v>
      </c>
      <c r="B206" s="2">
        <v>45928</v>
      </c>
      <c r="C206" t="s">
        <v>314</v>
      </c>
      <c r="D206" t="s">
        <v>15</v>
      </c>
      <c r="E206" t="s">
        <v>16</v>
      </c>
      <c r="F206" t="s">
        <v>17</v>
      </c>
      <c r="G206">
        <v>3</v>
      </c>
      <c r="H206">
        <v>57.11</v>
      </c>
      <c r="I206">
        <v>0.05</v>
      </c>
      <c r="J206">
        <v>162.76</v>
      </c>
      <c r="K206">
        <v>114.45</v>
      </c>
      <c r="L206">
        <v>48.31</v>
      </c>
      <c r="M206" t="s">
        <v>18</v>
      </c>
      <c r="N206" t="str">
        <f t="shared" si="7"/>
        <v>OK</v>
      </c>
      <c r="O206" s="7" t="str">
        <f t="shared" si="8"/>
        <v>OK</v>
      </c>
    </row>
    <row r="207" spans="1:15">
      <c r="A207" t="s">
        <v>578</v>
      </c>
      <c r="B207" s="2">
        <v>45697</v>
      </c>
      <c r="C207" t="s">
        <v>579</v>
      </c>
      <c r="D207" t="s">
        <v>88</v>
      </c>
      <c r="E207" t="s">
        <v>16</v>
      </c>
      <c r="F207" t="s">
        <v>30</v>
      </c>
      <c r="G207">
        <v>3</v>
      </c>
      <c r="H207">
        <v>64.13</v>
      </c>
      <c r="I207">
        <v>0.15</v>
      </c>
      <c r="J207">
        <v>163.53</v>
      </c>
      <c r="K207">
        <v>97</v>
      </c>
      <c r="L207">
        <v>66.53</v>
      </c>
      <c r="M207" t="s">
        <v>18</v>
      </c>
      <c r="N207" t="str">
        <f t="shared" si="7"/>
        <v>OK</v>
      </c>
      <c r="O207" s="7" t="str">
        <f t="shared" si="8"/>
        <v>OK</v>
      </c>
    </row>
    <row r="208" spans="1:15">
      <c r="A208" t="s">
        <v>207</v>
      </c>
      <c r="B208" s="2">
        <v>45670</v>
      </c>
      <c r="C208" t="s">
        <v>208</v>
      </c>
      <c r="D208" t="s">
        <v>88</v>
      </c>
      <c r="E208" t="s">
        <v>16</v>
      </c>
      <c r="F208" t="s">
        <v>36</v>
      </c>
      <c r="G208">
        <v>2</v>
      </c>
      <c r="H208">
        <v>86.13</v>
      </c>
      <c r="I208">
        <v>0.05</v>
      </c>
      <c r="J208">
        <v>163.65</v>
      </c>
      <c r="K208">
        <v>116.96</v>
      </c>
      <c r="L208">
        <v>46.69</v>
      </c>
      <c r="M208" t="s">
        <v>18</v>
      </c>
      <c r="N208" t="str">
        <f t="shared" si="7"/>
        <v>OK</v>
      </c>
      <c r="O208" s="7" t="str">
        <f t="shared" si="8"/>
        <v>OK</v>
      </c>
    </row>
    <row r="209" spans="1:15">
      <c r="A209" t="s">
        <v>553</v>
      </c>
      <c r="B209" s="2">
        <v>45885</v>
      </c>
      <c r="C209" t="s">
        <v>289</v>
      </c>
      <c r="D209" t="s">
        <v>56</v>
      </c>
      <c r="E209" t="s">
        <v>16</v>
      </c>
      <c r="F209" t="s">
        <v>23</v>
      </c>
      <c r="G209">
        <v>1</v>
      </c>
      <c r="H209">
        <v>163.84</v>
      </c>
      <c r="I209">
        <v>0</v>
      </c>
      <c r="J209">
        <v>163.84</v>
      </c>
      <c r="K209">
        <v>125.74</v>
      </c>
      <c r="L209">
        <v>38.1</v>
      </c>
      <c r="M209" t="s">
        <v>18</v>
      </c>
      <c r="N209" t="str">
        <f t="shared" si="7"/>
        <v>OK</v>
      </c>
      <c r="O209" s="7" t="str">
        <f t="shared" si="8"/>
        <v>OK</v>
      </c>
    </row>
    <row r="210" spans="1:15">
      <c r="A210" t="s">
        <v>431</v>
      </c>
      <c r="B210" s="2">
        <v>45880</v>
      </c>
      <c r="C210" t="s">
        <v>432</v>
      </c>
      <c r="D210" t="s">
        <v>41</v>
      </c>
      <c r="E210" t="s">
        <v>42</v>
      </c>
      <c r="F210" t="s">
        <v>23</v>
      </c>
      <c r="G210">
        <v>1</v>
      </c>
      <c r="H210">
        <v>172.79</v>
      </c>
      <c r="I210">
        <v>0.05</v>
      </c>
      <c r="J210">
        <v>164.15</v>
      </c>
      <c r="K210">
        <v>106.38</v>
      </c>
      <c r="L210">
        <v>57.77</v>
      </c>
      <c r="M210" t="s">
        <v>18</v>
      </c>
      <c r="N210" t="str">
        <f t="shared" si="7"/>
        <v>OK</v>
      </c>
      <c r="O210" s="7" t="str">
        <f t="shared" si="8"/>
        <v>OK</v>
      </c>
    </row>
    <row r="211" spans="1:15">
      <c r="A211" t="s">
        <v>674</v>
      </c>
      <c r="B211" s="2">
        <v>45767</v>
      </c>
      <c r="C211" t="s">
        <v>377</v>
      </c>
      <c r="D211" t="s">
        <v>110</v>
      </c>
      <c r="E211" t="s">
        <v>35</v>
      </c>
      <c r="F211" t="s">
        <v>30</v>
      </c>
      <c r="G211">
        <v>1</v>
      </c>
      <c r="H211">
        <v>174.45</v>
      </c>
      <c r="I211">
        <v>0.05</v>
      </c>
      <c r="J211">
        <v>165.73</v>
      </c>
      <c r="K211">
        <v>104.99</v>
      </c>
      <c r="L211">
        <v>60.74</v>
      </c>
      <c r="M211" t="s">
        <v>18</v>
      </c>
      <c r="N211" t="str">
        <f t="shared" si="7"/>
        <v>OK</v>
      </c>
      <c r="O211" s="7" t="str">
        <f t="shared" si="8"/>
        <v>OK</v>
      </c>
    </row>
    <row r="212" spans="1:15">
      <c r="A212" t="s">
        <v>549</v>
      </c>
      <c r="B212" s="2">
        <v>46013</v>
      </c>
      <c r="C212" t="s">
        <v>367</v>
      </c>
      <c r="D212" t="s">
        <v>77</v>
      </c>
      <c r="E212" t="s">
        <v>22</v>
      </c>
      <c r="F212" t="s">
        <v>23</v>
      </c>
      <c r="G212">
        <v>3</v>
      </c>
      <c r="H212">
        <v>62.29</v>
      </c>
      <c r="I212">
        <v>0.1</v>
      </c>
      <c r="J212">
        <v>168.18</v>
      </c>
      <c r="K212">
        <v>112.43</v>
      </c>
      <c r="L212">
        <v>55.75</v>
      </c>
      <c r="M212" t="s">
        <v>18</v>
      </c>
      <c r="N212" t="str">
        <f t="shared" si="7"/>
        <v>OK</v>
      </c>
      <c r="O212" s="7" t="str">
        <f t="shared" si="8"/>
        <v>OK</v>
      </c>
    </row>
    <row r="213" spans="1:15">
      <c r="A213" t="s">
        <v>86</v>
      </c>
      <c r="B213" s="2">
        <v>45694</v>
      </c>
      <c r="C213" t="s">
        <v>76</v>
      </c>
      <c r="D213" t="s">
        <v>48</v>
      </c>
      <c r="E213" t="s">
        <v>35</v>
      </c>
      <c r="F213" t="s">
        <v>17</v>
      </c>
      <c r="G213">
        <v>4</v>
      </c>
      <c r="H213">
        <v>52.86</v>
      </c>
      <c r="I213">
        <v>0.2</v>
      </c>
      <c r="J213">
        <v>169.15</v>
      </c>
      <c r="K213">
        <v>142.02000000000001</v>
      </c>
      <c r="L213">
        <v>27.13</v>
      </c>
      <c r="M213" t="s">
        <v>31</v>
      </c>
      <c r="N213" t="str">
        <f t="shared" si="7"/>
        <v>OK</v>
      </c>
      <c r="O213" s="7" t="str">
        <f t="shared" si="8"/>
        <v>OK</v>
      </c>
    </row>
    <row r="214" spans="1:15">
      <c r="A214" t="s">
        <v>269</v>
      </c>
      <c r="B214" s="2">
        <v>45939</v>
      </c>
      <c r="C214" t="s">
        <v>63</v>
      </c>
      <c r="D214" t="s">
        <v>56</v>
      </c>
      <c r="E214" t="s">
        <v>16</v>
      </c>
      <c r="F214" t="s">
        <v>36</v>
      </c>
      <c r="G214">
        <v>1</v>
      </c>
      <c r="H214">
        <v>170.38</v>
      </c>
      <c r="I214">
        <v>0</v>
      </c>
      <c r="J214">
        <v>170.38</v>
      </c>
      <c r="K214">
        <v>129.77000000000001</v>
      </c>
      <c r="L214">
        <v>40.61</v>
      </c>
      <c r="M214" t="s">
        <v>18</v>
      </c>
      <c r="N214" t="str">
        <f t="shared" si="7"/>
        <v>OK</v>
      </c>
      <c r="O214" s="7" t="str">
        <f t="shared" si="8"/>
        <v>OK</v>
      </c>
    </row>
    <row r="215" spans="1:15">
      <c r="A215" t="s">
        <v>687</v>
      </c>
      <c r="B215" s="2">
        <v>45907</v>
      </c>
      <c r="C215" t="s">
        <v>65</v>
      </c>
      <c r="D215" t="s">
        <v>88</v>
      </c>
      <c r="E215" t="s">
        <v>16</v>
      </c>
      <c r="F215" t="s">
        <v>17</v>
      </c>
      <c r="G215">
        <v>5</v>
      </c>
      <c r="H215">
        <v>38.119999999999997</v>
      </c>
      <c r="I215">
        <v>0.1</v>
      </c>
      <c r="J215">
        <v>171.54</v>
      </c>
      <c r="K215">
        <v>105.69</v>
      </c>
      <c r="L215">
        <v>65.849999999999994</v>
      </c>
      <c r="M215" t="s">
        <v>31</v>
      </c>
      <c r="N215" t="str">
        <f t="shared" si="7"/>
        <v>OK</v>
      </c>
      <c r="O215" s="7" t="str">
        <f t="shared" si="8"/>
        <v>OK</v>
      </c>
    </row>
    <row r="216" spans="1:15">
      <c r="A216" t="s">
        <v>216</v>
      </c>
      <c r="B216" s="2">
        <v>45855</v>
      </c>
      <c r="C216" t="s">
        <v>154</v>
      </c>
      <c r="D216" t="s">
        <v>139</v>
      </c>
      <c r="E216" t="s">
        <v>16</v>
      </c>
      <c r="F216" t="s">
        <v>17</v>
      </c>
      <c r="G216">
        <v>2</v>
      </c>
      <c r="H216">
        <v>101.49</v>
      </c>
      <c r="I216">
        <v>0.15</v>
      </c>
      <c r="J216">
        <v>172.53</v>
      </c>
      <c r="K216">
        <v>127.2</v>
      </c>
      <c r="L216">
        <v>45.33</v>
      </c>
      <c r="M216" t="s">
        <v>18</v>
      </c>
      <c r="N216" t="str">
        <f t="shared" si="7"/>
        <v>OK</v>
      </c>
      <c r="O216" s="7" t="str">
        <f t="shared" si="8"/>
        <v>OK</v>
      </c>
    </row>
    <row r="217" spans="1:15">
      <c r="A217" t="s">
        <v>692</v>
      </c>
      <c r="B217" s="2">
        <v>45878</v>
      </c>
      <c r="C217" t="s">
        <v>329</v>
      </c>
      <c r="D217" t="s">
        <v>41</v>
      </c>
      <c r="E217" t="s">
        <v>42</v>
      </c>
      <c r="F217" t="s">
        <v>36</v>
      </c>
      <c r="G217">
        <v>2</v>
      </c>
      <c r="H217">
        <v>96.22</v>
      </c>
      <c r="I217">
        <v>0.1</v>
      </c>
      <c r="J217">
        <v>173.2</v>
      </c>
      <c r="K217">
        <v>143.85</v>
      </c>
      <c r="L217">
        <v>29.35</v>
      </c>
      <c r="M217" t="s">
        <v>18</v>
      </c>
      <c r="N217" t="str">
        <f t="shared" si="7"/>
        <v>OK</v>
      </c>
      <c r="O217" s="7" t="str">
        <f t="shared" si="8"/>
        <v>OK</v>
      </c>
    </row>
    <row r="218" spans="1:15">
      <c r="A218" t="s">
        <v>291</v>
      </c>
      <c r="B218" s="2">
        <v>45980</v>
      </c>
      <c r="C218" t="s">
        <v>50</v>
      </c>
      <c r="D218" t="s">
        <v>34</v>
      </c>
      <c r="E218" t="s">
        <v>35</v>
      </c>
      <c r="F218" t="s">
        <v>23</v>
      </c>
      <c r="G218">
        <v>1</v>
      </c>
      <c r="H218">
        <v>109.99</v>
      </c>
      <c r="I218">
        <v>0.1</v>
      </c>
      <c r="J218">
        <v>173.99</v>
      </c>
      <c r="K218">
        <v>57.16</v>
      </c>
      <c r="L218">
        <v>41.83</v>
      </c>
      <c r="M218" t="s">
        <v>18</v>
      </c>
      <c r="N218" t="str">
        <f t="shared" si="7"/>
        <v>Mismatch</v>
      </c>
      <c r="O218" s="7" t="str">
        <f t="shared" si="8"/>
        <v>Mismatch</v>
      </c>
    </row>
    <row r="219" spans="1:15">
      <c r="A219" t="s">
        <v>522</v>
      </c>
      <c r="B219" s="2">
        <v>45860</v>
      </c>
      <c r="C219" t="s">
        <v>232</v>
      </c>
      <c r="D219" t="s">
        <v>53</v>
      </c>
      <c r="E219" t="s">
        <v>42</v>
      </c>
      <c r="F219" t="s">
        <v>30</v>
      </c>
      <c r="G219">
        <v>2</v>
      </c>
      <c r="H219">
        <v>92.52</v>
      </c>
      <c r="I219">
        <v>0.05</v>
      </c>
      <c r="J219">
        <v>175.79</v>
      </c>
      <c r="K219">
        <v>126.36</v>
      </c>
      <c r="L219">
        <v>49.43</v>
      </c>
      <c r="M219" t="s">
        <v>18</v>
      </c>
      <c r="N219" t="str">
        <f t="shared" si="7"/>
        <v>OK</v>
      </c>
      <c r="O219" s="7" t="str">
        <f t="shared" si="8"/>
        <v>OK</v>
      </c>
    </row>
    <row r="220" spans="1:15">
      <c r="A220" t="s">
        <v>106</v>
      </c>
      <c r="B220" s="2">
        <v>45956</v>
      </c>
      <c r="C220" t="s">
        <v>107</v>
      </c>
      <c r="D220" t="s">
        <v>56</v>
      </c>
      <c r="E220" t="s">
        <v>16</v>
      </c>
      <c r="F220" t="s">
        <v>17</v>
      </c>
      <c r="G220">
        <v>3</v>
      </c>
      <c r="H220">
        <v>58.79</v>
      </c>
      <c r="I220">
        <v>0</v>
      </c>
      <c r="J220">
        <v>176.37</v>
      </c>
      <c r="K220">
        <v>141.91</v>
      </c>
      <c r="L220">
        <v>34.46</v>
      </c>
      <c r="M220" t="s">
        <v>18</v>
      </c>
      <c r="N220" t="str">
        <f t="shared" si="7"/>
        <v>OK</v>
      </c>
      <c r="O220" s="7" t="str">
        <f t="shared" si="8"/>
        <v>OK</v>
      </c>
    </row>
    <row r="221" spans="1:15">
      <c r="A221" t="s">
        <v>27</v>
      </c>
      <c r="B221" s="2">
        <v>45964</v>
      </c>
      <c r="C221" t="s">
        <v>28</v>
      </c>
      <c r="D221" t="s">
        <v>29</v>
      </c>
      <c r="E221" t="s">
        <v>22</v>
      </c>
      <c r="F221" t="s">
        <v>30</v>
      </c>
      <c r="G221">
        <v>3</v>
      </c>
      <c r="H221">
        <v>73.78</v>
      </c>
      <c r="I221">
        <v>0.2</v>
      </c>
      <c r="J221">
        <v>177.07</v>
      </c>
      <c r="K221">
        <v>122.18</v>
      </c>
      <c r="L221">
        <v>54.89</v>
      </c>
      <c r="M221" t="s">
        <v>31</v>
      </c>
      <c r="N221" t="str">
        <f t="shared" si="7"/>
        <v>OK</v>
      </c>
      <c r="O221" s="7" t="str">
        <f t="shared" si="8"/>
        <v>OK</v>
      </c>
    </row>
    <row r="222" spans="1:15">
      <c r="A222" t="s">
        <v>633</v>
      </c>
      <c r="B222" s="2">
        <v>45794</v>
      </c>
      <c r="C222" t="s">
        <v>104</v>
      </c>
      <c r="D222" t="s">
        <v>53</v>
      </c>
      <c r="E222" t="s">
        <v>42</v>
      </c>
      <c r="F222" t="s">
        <v>30</v>
      </c>
      <c r="G222">
        <v>3</v>
      </c>
      <c r="H222">
        <v>65.739999999999995</v>
      </c>
      <c r="I222">
        <v>0.1</v>
      </c>
      <c r="J222">
        <v>177.5</v>
      </c>
      <c r="K222">
        <v>128.08000000000001</v>
      </c>
      <c r="L222">
        <v>49.42</v>
      </c>
      <c r="M222" t="s">
        <v>18</v>
      </c>
      <c r="N222" t="str">
        <f t="shared" si="7"/>
        <v>OK</v>
      </c>
      <c r="O222" s="7" t="str">
        <f t="shared" si="8"/>
        <v>OK</v>
      </c>
    </row>
    <row r="223" spans="1:15">
      <c r="A223" t="s">
        <v>373</v>
      </c>
      <c r="B223" s="2">
        <v>45699</v>
      </c>
      <c r="C223" t="s">
        <v>157</v>
      </c>
      <c r="D223" t="s">
        <v>110</v>
      </c>
      <c r="E223" t="s">
        <v>35</v>
      </c>
      <c r="F223" t="s">
        <v>30</v>
      </c>
      <c r="G223">
        <v>1</v>
      </c>
      <c r="H223">
        <v>177.9</v>
      </c>
      <c r="I223">
        <v>0</v>
      </c>
      <c r="J223">
        <v>177.9</v>
      </c>
      <c r="K223">
        <v>134.94</v>
      </c>
      <c r="L223">
        <v>42.96</v>
      </c>
      <c r="M223" t="s">
        <v>18</v>
      </c>
      <c r="N223" t="str">
        <f t="shared" si="7"/>
        <v>OK</v>
      </c>
      <c r="O223" s="7" t="str">
        <f t="shared" si="8"/>
        <v>OK</v>
      </c>
    </row>
    <row r="224" spans="1:15">
      <c r="A224" t="s">
        <v>13</v>
      </c>
      <c r="B224" s="2">
        <v>45872</v>
      </c>
      <c r="C224" t="s">
        <v>14</v>
      </c>
      <c r="D224" t="s">
        <v>15</v>
      </c>
      <c r="E224" t="s">
        <v>16</v>
      </c>
      <c r="F224" t="s">
        <v>17</v>
      </c>
      <c r="G224">
        <v>5</v>
      </c>
      <c r="H224">
        <v>39.549999999999997</v>
      </c>
      <c r="I224">
        <v>0.1</v>
      </c>
      <c r="J224">
        <v>177.98</v>
      </c>
      <c r="K224">
        <v>129.76</v>
      </c>
      <c r="L224">
        <v>48.22</v>
      </c>
      <c r="M224" t="s">
        <v>18</v>
      </c>
      <c r="N224" t="str">
        <f t="shared" si="7"/>
        <v>OK</v>
      </c>
      <c r="O224" s="7" t="str">
        <f t="shared" si="8"/>
        <v>OK</v>
      </c>
    </row>
    <row r="225" spans="1:15">
      <c r="A225" t="s">
        <v>173</v>
      </c>
      <c r="B225" s="2">
        <v>45925</v>
      </c>
      <c r="C225" t="s">
        <v>174</v>
      </c>
      <c r="D225" t="s">
        <v>15</v>
      </c>
      <c r="E225" t="s">
        <v>16</v>
      </c>
      <c r="F225" t="s">
        <v>23</v>
      </c>
      <c r="G225">
        <v>2</v>
      </c>
      <c r="H225">
        <v>93.68</v>
      </c>
      <c r="I225">
        <v>0.05</v>
      </c>
      <c r="J225">
        <v>177.99</v>
      </c>
      <c r="K225">
        <v>142.29</v>
      </c>
      <c r="L225">
        <v>35.700000000000003</v>
      </c>
      <c r="M225" t="s">
        <v>18</v>
      </c>
      <c r="N225" t="str">
        <f t="shared" si="7"/>
        <v>OK</v>
      </c>
      <c r="O225" s="7" t="str">
        <f t="shared" si="8"/>
        <v>OK</v>
      </c>
    </row>
    <row r="226" spans="1:15">
      <c r="A226" t="s">
        <v>621</v>
      </c>
      <c r="B226" s="2">
        <v>45675</v>
      </c>
      <c r="C226" t="s">
        <v>355</v>
      </c>
      <c r="D226" t="s">
        <v>15</v>
      </c>
      <c r="E226" t="s">
        <v>16</v>
      </c>
      <c r="F226" t="s">
        <v>17</v>
      </c>
      <c r="G226">
        <v>2</v>
      </c>
      <c r="H226">
        <v>93.9</v>
      </c>
      <c r="I226">
        <v>0.05</v>
      </c>
      <c r="J226">
        <v>178.41</v>
      </c>
      <c r="K226">
        <v>105.85</v>
      </c>
      <c r="L226">
        <v>72.56</v>
      </c>
      <c r="M226" t="s">
        <v>24</v>
      </c>
      <c r="N226" t="str">
        <f t="shared" si="7"/>
        <v>OK</v>
      </c>
      <c r="O226" s="7" t="str">
        <f t="shared" si="8"/>
        <v>OK</v>
      </c>
    </row>
    <row r="227" spans="1:15">
      <c r="A227" t="s">
        <v>304</v>
      </c>
      <c r="B227" s="2">
        <v>45963</v>
      </c>
      <c r="C227" t="s">
        <v>40</v>
      </c>
      <c r="D227" t="s">
        <v>105</v>
      </c>
      <c r="E227" t="s">
        <v>42</v>
      </c>
      <c r="F227" t="s">
        <v>23</v>
      </c>
      <c r="G227">
        <v>2</v>
      </c>
      <c r="H227">
        <v>89.45</v>
      </c>
      <c r="I227">
        <v>0</v>
      </c>
      <c r="J227">
        <v>178.9</v>
      </c>
      <c r="K227">
        <v>102.4</v>
      </c>
      <c r="L227">
        <v>76.5</v>
      </c>
      <c r="M227" t="s">
        <v>18</v>
      </c>
      <c r="N227" t="str">
        <f t="shared" si="7"/>
        <v>OK</v>
      </c>
      <c r="O227" s="7" t="str">
        <f t="shared" si="8"/>
        <v>OK</v>
      </c>
    </row>
    <row r="228" spans="1:15">
      <c r="A228" t="s">
        <v>389</v>
      </c>
      <c r="B228" s="2">
        <v>45948</v>
      </c>
      <c r="C228" t="s">
        <v>390</v>
      </c>
      <c r="D228" t="s">
        <v>48</v>
      </c>
      <c r="E228" t="s">
        <v>35</v>
      </c>
      <c r="F228" t="s">
        <v>23</v>
      </c>
      <c r="G228">
        <v>2</v>
      </c>
      <c r="H228">
        <v>94.2</v>
      </c>
      <c r="I228">
        <v>0.05</v>
      </c>
      <c r="J228">
        <v>178.98</v>
      </c>
      <c r="K228">
        <v>127.42</v>
      </c>
      <c r="L228">
        <v>51.56</v>
      </c>
      <c r="M228" t="s">
        <v>31</v>
      </c>
      <c r="N228" t="str">
        <f t="shared" si="7"/>
        <v>OK</v>
      </c>
      <c r="O228" s="7" t="str">
        <f t="shared" si="8"/>
        <v>OK</v>
      </c>
    </row>
    <row r="229" spans="1:15">
      <c r="A229" t="s">
        <v>673</v>
      </c>
      <c r="B229" s="2">
        <v>45928</v>
      </c>
      <c r="C229" t="s">
        <v>65</v>
      </c>
      <c r="D229" t="s">
        <v>77</v>
      </c>
      <c r="E229" t="s">
        <v>22</v>
      </c>
      <c r="F229" t="s">
        <v>17</v>
      </c>
      <c r="G229">
        <v>2</v>
      </c>
      <c r="H229">
        <v>89.69</v>
      </c>
      <c r="I229">
        <v>0</v>
      </c>
      <c r="J229">
        <v>179.38</v>
      </c>
      <c r="K229">
        <v>149.37</v>
      </c>
      <c r="L229">
        <v>30.01</v>
      </c>
      <c r="M229" t="s">
        <v>24</v>
      </c>
      <c r="N229" t="str">
        <f t="shared" si="7"/>
        <v>OK</v>
      </c>
      <c r="O229" s="7" t="str">
        <f t="shared" si="8"/>
        <v>OK</v>
      </c>
    </row>
    <row r="230" spans="1:15">
      <c r="A230" t="s">
        <v>274</v>
      </c>
      <c r="B230" s="2">
        <v>45661</v>
      </c>
      <c r="C230" t="s">
        <v>275</v>
      </c>
      <c r="D230" t="s">
        <v>88</v>
      </c>
      <c r="E230" t="s">
        <v>16</v>
      </c>
      <c r="F230" t="s">
        <v>36</v>
      </c>
      <c r="G230">
        <v>3</v>
      </c>
      <c r="H230">
        <v>66.459999999999994</v>
      </c>
      <c r="I230">
        <v>0.1</v>
      </c>
      <c r="J230">
        <v>179.44</v>
      </c>
      <c r="K230">
        <v>102.21</v>
      </c>
      <c r="L230">
        <v>77.23</v>
      </c>
      <c r="M230" t="s">
        <v>18</v>
      </c>
      <c r="N230" t="str">
        <f t="shared" si="7"/>
        <v>OK</v>
      </c>
      <c r="O230" s="7" t="str">
        <f t="shared" si="8"/>
        <v>OK</v>
      </c>
    </row>
    <row r="231" spans="1:15">
      <c r="A231" t="s">
        <v>515</v>
      </c>
      <c r="B231" s="2">
        <v>45998</v>
      </c>
      <c r="C231" t="s">
        <v>444</v>
      </c>
      <c r="D231" t="s">
        <v>139</v>
      </c>
      <c r="E231" t="s">
        <v>16</v>
      </c>
      <c r="F231" t="s">
        <v>17</v>
      </c>
      <c r="G231">
        <v>3</v>
      </c>
      <c r="H231">
        <v>60</v>
      </c>
      <c r="I231">
        <v>0</v>
      </c>
      <c r="J231">
        <v>180</v>
      </c>
      <c r="K231">
        <v>109.51</v>
      </c>
      <c r="L231">
        <v>70.489999999999995</v>
      </c>
      <c r="M231" t="s">
        <v>18</v>
      </c>
      <c r="N231" t="str">
        <f t="shared" si="7"/>
        <v>OK</v>
      </c>
      <c r="O231" s="7" t="str">
        <f t="shared" si="8"/>
        <v>OK</v>
      </c>
    </row>
    <row r="232" spans="1:15">
      <c r="A232" t="s">
        <v>311</v>
      </c>
      <c r="B232" s="2">
        <v>45928</v>
      </c>
      <c r="C232" t="s">
        <v>312</v>
      </c>
      <c r="D232" t="s">
        <v>56</v>
      </c>
      <c r="E232" t="s">
        <v>16</v>
      </c>
      <c r="F232" t="s">
        <v>23</v>
      </c>
      <c r="G232">
        <v>5</v>
      </c>
      <c r="H232">
        <v>42.46</v>
      </c>
      <c r="I232">
        <v>0.15</v>
      </c>
      <c r="J232">
        <v>180.46</v>
      </c>
      <c r="K232">
        <v>137.96</v>
      </c>
      <c r="L232">
        <v>42.5</v>
      </c>
      <c r="M232" t="s">
        <v>18</v>
      </c>
      <c r="N232" t="str">
        <f t="shared" si="7"/>
        <v>OK</v>
      </c>
      <c r="O232" s="7" t="str">
        <f t="shared" si="8"/>
        <v>OK</v>
      </c>
    </row>
    <row r="233" spans="1:15">
      <c r="A233" t="s">
        <v>360</v>
      </c>
      <c r="B233" s="2">
        <v>45790</v>
      </c>
      <c r="C233" t="s">
        <v>52</v>
      </c>
      <c r="D233" t="s">
        <v>61</v>
      </c>
      <c r="E233" t="s">
        <v>42</v>
      </c>
      <c r="F233" t="s">
        <v>30</v>
      </c>
      <c r="G233">
        <v>2</v>
      </c>
      <c r="H233">
        <v>90.42</v>
      </c>
      <c r="I233">
        <v>0</v>
      </c>
      <c r="J233">
        <v>180.84</v>
      </c>
      <c r="K233">
        <v>117.98</v>
      </c>
      <c r="L233">
        <v>62.86</v>
      </c>
      <c r="M233" t="s">
        <v>24</v>
      </c>
      <c r="N233" t="str">
        <f t="shared" si="7"/>
        <v>OK</v>
      </c>
      <c r="O233" s="7" t="str">
        <f t="shared" si="8"/>
        <v>OK</v>
      </c>
    </row>
    <row r="234" spans="1:15">
      <c r="A234" t="s">
        <v>71</v>
      </c>
      <c r="B234" s="2">
        <v>45975</v>
      </c>
      <c r="C234" t="s">
        <v>72</v>
      </c>
      <c r="D234" t="s">
        <v>29</v>
      </c>
      <c r="E234" t="s">
        <v>22</v>
      </c>
      <c r="F234" t="s">
        <v>23</v>
      </c>
      <c r="G234">
        <v>3</v>
      </c>
      <c r="H234">
        <v>63.59</v>
      </c>
      <c r="I234">
        <v>0.05</v>
      </c>
      <c r="J234">
        <v>181.23</v>
      </c>
      <c r="K234">
        <v>137.9</v>
      </c>
      <c r="L234">
        <v>43.33</v>
      </c>
      <c r="M234" t="s">
        <v>18</v>
      </c>
      <c r="N234" t="str">
        <f t="shared" si="7"/>
        <v>OK</v>
      </c>
      <c r="O234" s="7" t="str">
        <f t="shared" si="8"/>
        <v>OK</v>
      </c>
    </row>
    <row r="235" spans="1:15">
      <c r="A235" t="s">
        <v>59</v>
      </c>
      <c r="B235" s="2">
        <v>45753</v>
      </c>
      <c r="C235" t="s">
        <v>60</v>
      </c>
      <c r="D235" t="s">
        <v>61</v>
      </c>
      <c r="E235" t="s">
        <v>42</v>
      </c>
      <c r="F235" t="s">
        <v>36</v>
      </c>
      <c r="G235">
        <v>5</v>
      </c>
      <c r="H235">
        <v>42.7</v>
      </c>
      <c r="I235">
        <v>0.15</v>
      </c>
      <c r="J235">
        <v>181.48</v>
      </c>
      <c r="K235">
        <v>125.7</v>
      </c>
      <c r="L235">
        <v>55.78</v>
      </c>
      <c r="M235" t="s">
        <v>31</v>
      </c>
      <c r="N235" t="str">
        <f t="shared" si="7"/>
        <v>OK</v>
      </c>
      <c r="O235" s="7" t="str">
        <f t="shared" si="8"/>
        <v>OK</v>
      </c>
    </row>
    <row r="236" spans="1:15">
      <c r="A236" t="s">
        <v>569</v>
      </c>
      <c r="B236" s="2">
        <v>45741</v>
      </c>
      <c r="C236" t="s">
        <v>540</v>
      </c>
      <c r="D236" t="s">
        <v>61</v>
      </c>
      <c r="E236" t="s">
        <v>42</v>
      </c>
      <c r="F236" t="s">
        <v>36</v>
      </c>
      <c r="G236">
        <v>4</v>
      </c>
      <c r="H236">
        <v>50.54</v>
      </c>
      <c r="I236">
        <v>0.1</v>
      </c>
      <c r="J236">
        <v>181.94</v>
      </c>
      <c r="K236">
        <v>136.44999999999999</v>
      </c>
      <c r="L236">
        <v>45.49</v>
      </c>
      <c r="M236" t="s">
        <v>18</v>
      </c>
      <c r="N236" t="str">
        <f t="shared" si="7"/>
        <v>OK</v>
      </c>
      <c r="O236" s="7" t="str">
        <f t="shared" si="8"/>
        <v>OK</v>
      </c>
    </row>
    <row r="237" spans="1:15">
      <c r="A237" t="s">
        <v>453</v>
      </c>
      <c r="B237" s="2">
        <v>45723</v>
      </c>
      <c r="C237" t="s">
        <v>454</v>
      </c>
      <c r="D237" t="s">
        <v>41</v>
      </c>
      <c r="E237" t="s">
        <v>42</v>
      </c>
      <c r="F237" t="s">
        <v>36</v>
      </c>
      <c r="G237">
        <v>2</v>
      </c>
      <c r="H237">
        <v>91.37</v>
      </c>
      <c r="I237">
        <v>0</v>
      </c>
      <c r="J237">
        <v>182.74</v>
      </c>
      <c r="K237">
        <v>152.35</v>
      </c>
      <c r="L237">
        <v>30.39</v>
      </c>
      <c r="M237" t="s">
        <v>18</v>
      </c>
      <c r="N237" t="str">
        <f t="shared" si="7"/>
        <v>OK</v>
      </c>
      <c r="O237" s="7" t="str">
        <f t="shared" si="8"/>
        <v>OK</v>
      </c>
    </row>
    <row r="238" spans="1:15">
      <c r="A238" t="s">
        <v>290</v>
      </c>
      <c r="B238" s="2">
        <v>45817</v>
      </c>
      <c r="C238" t="s">
        <v>196</v>
      </c>
      <c r="D238" t="s">
        <v>34</v>
      </c>
      <c r="E238" t="s">
        <v>35</v>
      </c>
      <c r="F238" t="s">
        <v>23</v>
      </c>
      <c r="G238">
        <v>2</v>
      </c>
      <c r="H238">
        <v>96.62</v>
      </c>
      <c r="I238">
        <v>0.05</v>
      </c>
      <c r="J238">
        <v>183.58</v>
      </c>
      <c r="K238">
        <v>155.84</v>
      </c>
      <c r="L238">
        <v>27.74</v>
      </c>
      <c r="M238" t="s">
        <v>18</v>
      </c>
      <c r="N238" t="str">
        <f t="shared" si="7"/>
        <v>OK</v>
      </c>
      <c r="O238" s="7" t="str">
        <f t="shared" si="8"/>
        <v>OK</v>
      </c>
    </row>
    <row r="239" spans="1:15">
      <c r="A239" t="s">
        <v>276</v>
      </c>
      <c r="B239" s="2">
        <v>45968</v>
      </c>
      <c r="C239" t="s">
        <v>26</v>
      </c>
      <c r="D239" t="s">
        <v>70</v>
      </c>
      <c r="E239" t="s">
        <v>35</v>
      </c>
      <c r="F239" t="s">
        <v>36</v>
      </c>
      <c r="G239">
        <v>2</v>
      </c>
      <c r="H239">
        <v>97.47</v>
      </c>
      <c r="I239">
        <v>0.05</v>
      </c>
      <c r="J239">
        <v>185.19</v>
      </c>
      <c r="K239">
        <v>150.56</v>
      </c>
      <c r="L239">
        <v>34.630000000000003</v>
      </c>
      <c r="M239" t="s">
        <v>18</v>
      </c>
      <c r="N239" t="str">
        <f t="shared" si="7"/>
        <v>OK</v>
      </c>
      <c r="O239" s="7" t="str">
        <f t="shared" si="8"/>
        <v>OK</v>
      </c>
    </row>
    <row r="240" spans="1:15">
      <c r="A240" t="s">
        <v>440</v>
      </c>
      <c r="B240" s="2">
        <v>45764</v>
      </c>
      <c r="C240" t="s">
        <v>135</v>
      </c>
      <c r="D240" t="s">
        <v>61</v>
      </c>
      <c r="E240" t="s">
        <v>42</v>
      </c>
      <c r="F240" t="s">
        <v>36</v>
      </c>
      <c r="G240">
        <v>5</v>
      </c>
      <c r="H240">
        <v>39.729999999999997</v>
      </c>
      <c r="I240">
        <v>0.05</v>
      </c>
      <c r="J240">
        <v>188.72</v>
      </c>
      <c r="K240">
        <v>122.73</v>
      </c>
      <c r="L240">
        <v>65.989999999999995</v>
      </c>
      <c r="M240" t="s">
        <v>31</v>
      </c>
      <c r="N240" t="str">
        <f t="shared" si="7"/>
        <v>OK</v>
      </c>
      <c r="O240" s="7" t="str">
        <f t="shared" si="8"/>
        <v>OK</v>
      </c>
    </row>
    <row r="241" spans="1:15">
      <c r="A241" t="s">
        <v>708</v>
      </c>
      <c r="B241" s="2">
        <v>45951</v>
      </c>
      <c r="C241" t="s">
        <v>282</v>
      </c>
      <c r="D241" t="s">
        <v>53</v>
      </c>
      <c r="E241" t="s">
        <v>42</v>
      </c>
      <c r="F241" t="s">
        <v>36</v>
      </c>
      <c r="G241">
        <v>2</v>
      </c>
      <c r="H241">
        <v>111.85</v>
      </c>
      <c r="I241">
        <v>0.15</v>
      </c>
      <c r="J241">
        <v>190.14</v>
      </c>
      <c r="K241">
        <v>151.49</v>
      </c>
      <c r="L241">
        <v>38.65</v>
      </c>
      <c r="M241" t="s">
        <v>31</v>
      </c>
      <c r="N241" t="str">
        <f t="shared" si="7"/>
        <v>Mismatch</v>
      </c>
      <c r="O241" s="7" t="str">
        <f t="shared" si="8"/>
        <v>OK</v>
      </c>
    </row>
    <row r="242" spans="1:15">
      <c r="A242" t="s">
        <v>536</v>
      </c>
      <c r="B242" s="2">
        <v>45671</v>
      </c>
      <c r="C242" t="s">
        <v>448</v>
      </c>
      <c r="D242" t="s">
        <v>88</v>
      </c>
      <c r="E242" t="s">
        <v>16</v>
      </c>
      <c r="F242" t="s">
        <v>23</v>
      </c>
      <c r="G242">
        <v>2</v>
      </c>
      <c r="H242">
        <v>108.77</v>
      </c>
      <c r="I242">
        <v>0.1</v>
      </c>
      <c r="J242">
        <v>195.79</v>
      </c>
      <c r="K242">
        <v>111.9</v>
      </c>
      <c r="L242">
        <v>83.89</v>
      </c>
      <c r="M242" t="s">
        <v>18</v>
      </c>
      <c r="N242" t="str">
        <f t="shared" si="7"/>
        <v>OK</v>
      </c>
      <c r="O242" s="7" t="str">
        <f t="shared" si="8"/>
        <v>OK</v>
      </c>
    </row>
    <row r="243" spans="1:15">
      <c r="A243" t="s">
        <v>429</v>
      </c>
      <c r="B243" s="2">
        <v>45959</v>
      </c>
      <c r="C243" t="s">
        <v>218</v>
      </c>
      <c r="D243" t="s">
        <v>48</v>
      </c>
      <c r="E243" t="s">
        <v>35</v>
      </c>
      <c r="F243" t="s">
        <v>36</v>
      </c>
      <c r="G243">
        <v>3</v>
      </c>
      <c r="H243">
        <v>77.06</v>
      </c>
      <c r="I243">
        <v>0.15</v>
      </c>
      <c r="J243">
        <v>196.5</v>
      </c>
      <c r="K243">
        <v>120.1</v>
      </c>
      <c r="L243">
        <v>76.400000000000006</v>
      </c>
      <c r="M243" t="s">
        <v>18</v>
      </c>
      <c r="N243" t="str">
        <f t="shared" si="7"/>
        <v>OK</v>
      </c>
      <c r="O243" s="7" t="str">
        <f t="shared" si="8"/>
        <v>OK</v>
      </c>
    </row>
    <row r="244" spans="1:15">
      <c r="A244" t="s">
        <v>254</v>
      </c>
      <c r="B244" s="2">
        <v>45983</v>
      </c>
      <c r="C244" t="s">
        <v>90</v>
      </c>
      <c r="D244" t="s">
        <v>61</v>
      </c>
      <c r="E244" t="s">
        <v>42</v>
      </c>
      <c r="F244" t="s">
        <v>23</v>
      </c>
      <c r="G244">
        <v>2</v>
      </c>
      <c r="H244">
        <v>98.42</v>
      </c>
      <c r="I244">
        <v>0</v>
      </c>
      <c r="J244">
        <v>196.84</v>
      </c>
      <c r="K244">
        <v>124.34</v>
      </c>
      <c r="L244">
        <v>72.5</v>
      </c>
      <c r="M244" t="s">
        <v>18</v>
      </c>
      <c r="N244" t="str">
        <f t="shared" si="7"/>
        <v>OK</v>
      </c>
      <c r="O244" s="7" t="str">
        <f t="shared" si="8"/>
        <v>OK</v>
      </c>
    </row>
    <row r="245" spans="1:15">
      <c r="A245" t="s">
        <v>418</v>
      </c>
      <c r="B245" s="2">
        <v>45883</v>
      </c>
      <c r="C245" t="s">
        <v>419</v>
      </c>
      <c r="D245" t="s">
        <v>45</v>
      </c>
      <c r="E245" t="s">
        <v>22</v>
      </c>
      <c r="F245" t="s">
        <v>36</v>
      </c>
      <c r="G245">
        <v>2</v>
      </c>
      <c r="H245">
        <v>111.52</v>
      </c>
      <c r="I245">
        <v>0.1</v>
      </c>
      <c r="J245">
        <v>200.74</v>
      </c>
      <c r="K245">
        <v>155.46</v>
      </c>
      <c r="L245">
        <v>45.28</v>
      </c>
      <c r="M245" t="s">
        <v>24</v>
      </c>
      <c r="N245" t="str">
        <f t="shared" si="7"/>
        <v>OK</v>
      </c>
      <c r="O245" s="7" t="str">
        <f t="shared" si="8"/>
        <v>OK</v>
      </c>
    </row>
    <row r="246" spans="1:15">
      <c r="A246" t="s">
        <v>477</v>
      </c>
      <c r="B246" s="2">
        <v>45748</v>
      </c>
      <c r="C246" t="s">
        <v>355</v>
      </c>
      <c r="D246" t="s">
        <v>21</v>
      </c>
      <c r="E246" t="s">
        <v>22</v>
      </c>
      <c r="F246" t="s">
        <v>23</v>
      </c>
      <c r="G246">
        <v>2</v>
      </c>
      <c r="H246">
        <v>119.93</v>
      </c>
      <c r="I246">
        <v>0.15</v>
      </c>
      <c r="J246">
        <v>203.88</v>
      </c>
      <c r="K246">
        <v>112.15</v>
      </c>
      <c r="L246">
        <v>91.73</v>
      </c>
      <c r="M246" t="s">
        <v>18</v>
      </c>
      <c r="N246" t="str">
        <f t="shared" si="7"/>
        <v>OK</v>
      </c>
      <c r="O246" s="7" t="str">
        <f t="shared" si="8"/>
        <v>OK</v>
      </c>
    </row>
    <row r="247" spans="1:15">
      <c r="A247" t="s">
        <v>82</v>
      </c>
      <c r="B247" s="2">
        <v>46017</v>
      </c>
      <c r="C247" t="s">
        <v>83</v>
      </c>
      <c r="D247" t="s">
        <v>53</v>
      </c>
      <c r="E247" t="s">
        <v>42</v>
      </c>
      <c r="F247" t="s">
        <v>17</v>
      </c>
      <c r="G247">
        <v>3</v>
      </c>
      <c r="H247">
        <v>67.97</v>
      </c>
      <c r="I247">
        <v>0</v>
      </c>
      <c r="J247">
        <v>203.91</v>
      </c>
      <c r="K247">
        <v>169.69</v>
      </c>
      <c r="L247">
        <v>34.22</v>
      </c>
      <c r="M247" t="s">
        <v>18</v>
      </c>
      <c r="N247" t="str">
        <f t="shared" si="7"/>
        <v>OK</v>
      </c>
      <c r="O247" s="7" t="str">
        <f t="shared" si="8"/>
        <v>OK</v>
      </c>
    </row>
    <row r="248" spans="1:15">
      <c r="A248" t="s">
        <v>531</v>
      </c>
      <c r="B248" s="2">
        <v>45947</v>
      </c>
      <c r="C248" t="s">
        <v>273</v>
      </c>
      <c r="D248" t="s">
        <v>29</v>
      </c>
      <c r="E248" t="s">
        <v>22</v>
      </c>
      <c r="F248" t="s">
        <v>30</v>
      </c>
      <c r="G248">
        <v>3</v>
      </c>
      <c r="H248">
        <v>68</v>
      </c>
      <c r="I248">
        <v>0</v>
      </c>
      <c r="J248">
        <v>204</v>
      </c>
      <c r="K248">
        <v>161.66</v>
      </c>
      <c r="L248">
        <v>42.34</v>
      </c>
      <c r="M248" t="s">
        <v>31</v>
      </c>
      <c r="N248" t="str">
        <f t="shared" si="7"/>
        <v>OK</v>
      </c>
      <c r="O248" s="7" t="str">
        <f t="shared" si="8"/>
        <v>OK</v>
      </c>
    </row>
    <row r="249" spans="1:15">
      <c r="A249" t="s">
        <v>601</v>
      </c>
      <c r="B249" s="2">
        <v>45704</v>
      </c>
      <c r="C249" t="s">
        <v>152</v>
      </c>
      <c r="D249" t="s">
        <v>105</v>
      </c>
      <c r="E249" t="s">
        <v>42</v>
      </c>
      <c r="F249" t="s">
        <v>23</v>
      </c>
      <c r="G249">
        <v>3</v>
      </c>
      <c r="H249">
        <v>69.209999999999994</v>
      </c>
      <c r="I249">
        <v>0</v>
      </c>
      <c r="J249">
        <v>207.63</v>
      </c>
      <c r="K249">
        <v>134.97</v>
      </c>
      <c r="L249">
        <v>72.66</v>
      </c>
      <c r="M249" t="s">
        <v>31</v>
      </c>
      <c r="N249" t="str">
        <f t="shared" si="7"/>
        <v>OK</v>
      </c>
      <c r="O249" s="7" t="str">
        <f t="shared" si="8"/>
        <v>OK</v>
      </c>
    </row>
    <row r="250" spans="1:15">
      <c r="A250" t="s">
        <v>555</v>
      </c>
      <c r="B250" s="2">
        <v>45810</v>
      </c>
      <c r="C250" t="s">
        <v>92</v>
      </c>
      <c r="D250" t="s">
        <v>110</v>
      </c>
      <c r="E250" t="s">
        <v>35</v>
      </c>
      <c r="F250" t="s">
        <v>17</v>
      </c>
      <c r="G250">
        <v>3</v>
      </c>
      <c r="H250">
        <v>73.8</v>
      </c>
      <c r="I250">
        <v>0.05</v>
      </c>
      <c r="J250">
        <v>210.33</v>
      </c>
      <c r="K250">
        <v>127.15</v>
      </c>
      <c r="L250">
        <v>83.18</v>
      </c>
      <c r="M250" t="s">
        <v>31</v>
      </c>
      <c r="N250" t="str">
        <f t="shared" si="7"/>
        <v>OK</v>
      </c>
      <c r="O250" s="7" t="str">
        <f t="shared" si="8"/>
        <v>OK</v>
      </c>
    </row>
    <row r="251" spans="1:15">
      <c r="A251" t="s">
        <v>39</v>
      </c>
      <c r="B251" s="2">
        <v>45819</v>
      </c>
      <c r="C251" t="s">
        <v>40</v>
      </c>
      <c r="D251" t="s">
        <v>41</v>
      </c>
      <c r="E251" t="s">
        <v>42</v>
      </c>
      <c r="F251" t="s">
        <v>17</v>
      </c>
      <c r="G251">
        <v>2</v>
      </c>
      <c r="H251">
        <v>105.64</v>
      </c>
      <c r="I251">
        <v>0</v>
      </c>
      <c r="J251">
        <v>211.28</v>
      </c>
      <c r="K251">
        <v>169.59</v>
      </c>
      <c r="L251">
        <v>41.69</v>
      </c>
      <c r="M251" t="s">
        <v>24</v>
      </c>
      <c r="N251" t="str">
        <f t="shared" si="7"/>
        <v>OK</v>
      </c>
      <c r="O251" s="7" t="str">
        <f t="shared" si="8"/>
        <v>OK</v>
      </c>
    </row>
    <row r="252" spans="1:15">
      <c r="A252" t="s">
        <v>388</v>
      </c>
      <c r="B252" s="2">
        <v>45800</v>
      </c>
      <c r="C252" t="s">
        <v>63</v>
      </c>
      <c r="D252" t="s">
        <v>77</v>
      </c>
      <c r="E252" t="s">
        <v>22</v>
      </c>
      <c r="F252" t="s">
        <v>23</v>
      </c>
      <c r="G252">
        <v>2</v>
      </c>
      <c r="H252">
        <v>111.3</v>
      </c>
      <c r="I252">
        <v>0.05</v>
      </c>
      <c r="J252">
        <v>211.47</v>
      </c>
      <c r="K252">
        <v>174.64</v>
      </c>
      <c r="L252">
        <v>36.83</v>
      </c>
      <c r="M252" t="s">
        <v>18</v>
      </c>
      <c r="N252" t="str">
        <f t="shared" si="7"/>
        <v>OK</v>
      </c>
      <c r="O252" s="7" t="str">
        <f t="shared" si="8"/>
        <v>OK</v>
      </c>
    </row>
    <row r="253" spans="1:15">
      <c r="A253" t="s">
        <v>562</v>
      </c>
      <c r="B253" s="2">
        <v>45905</v>
      </c>
      <c r="C253" t="s">
        <v>174</v>
      </c>
      <c r="D253" t="s">
        <v>110</v>
      </c>
      <c r="E253" t="s">
        <v>35</v>
      </c>
      <c r="F253" t="s">
        <v>30</v>
      </c>
      <c r="G253">
        <v>2</v>
      </c>
      <c r="H253">
        <v>126.7</v>
      </c>
      <c r="I253">
        <v>0.15</v>
      </c>
      <c r="J253">
        <v>215.39</v>
      </c>
      <c r="K253">
        <v>150.6</v>
      </c>
      <c r="L253">
        <v>64.790000000000006</v>
      </c>
      <c r="M253" t="s">
        <v>18</v>
      </c>
      <c r="N253" t="str">
        <f t="shared" si="7"/>
        <v>OK</v>
      </c>
      <c r="O253" s="7" t="str">
        <f t="shared" si="8"/>
        <v>OK</v>
      </c>
    </row>
    <row r="254" spans="1:15">
      <c r="A254" t="s">
        <v>505</v>
      </c>
      <c r="B254" s="2">
        <v>45813</v>
      </c>
      <c r="C254" t="s">
        <v>379</v>
      </c>
      <c r="D254" t="s">
        <v>70</v>
      </c>
      <c r="E254" t="s">
        <v>35</v>
      </c>
      <c r="F254" t="s">
        <v>17</v>
      </c>
      <c r="G254">
        <v>2</v>
      </c>
      <c r="H254">
        <v>109.53</v>
      </c>
      <c r="I254">
        <v>0</v>
      </c>
      <c r="J254">
        <v>219.06</v>
      </c>
      <c r="K254">
        <v>145.72999999999999</v>
      </c>
      <c r="L254">
        <v>73.33</v>
      </c>
      <c r="M254" t="s">
        <v>18</v>
      </c>
      <c r="N254" t="str">
        <f t="shared" si="7"/>
        <v>OK</v>
      </c>
      <c r="O254" s="7" t="str">
        <f t="shared" si="8"/>
        <v>OK</v>
      </c>
    </row>
    <row r="255" spans="1:15">
      <c r="A255" t="s">
        <v>198</v>
      </c>
      <c r="B255" s="2">
        <v>45972</v>
      </c>
      <c r="C255" t="s">
        <v>164</v>
      </c>
      <c r="D255" t="s">
        <v>48</v>
      </c>
      <c r="E255" t="s">
        <v>35</v>
      </c>
      <c r="F255" t="s">
        <v>36</v>
      </c>
      <c r="G255">
        <v>3</v>
      </c>
      <c r="H255">
        <v>73.150000000000006</v>
      </c>
      <c r="I255">
        <v>0</v>
      </c>
      <c r="J255">
        <v>219.45</v>
      </c>
      <c r="K255">
        <v>179.93</v>
      </c>
      <c r="L255">
        <v>39.520000000000003</v>
      </c>
      <c r="M255" t="s">
        <v>18</v>
      </c>
      <c r="N255" t="str">
        <f t="shared" si="7"/>
        <v>OK</v>
      </c>
      <c r="O255" s="7" t="str">
        <f t="shared" si="8"/>
        <v>OK</v>
      </c>
    </row>
    <row r="256" spans="1:15">
      <c r="A256" t="s">
        <v>679</v>
      </c>
      <c r="B256" s="2">
        <v>45994</v>
      </c>
      <c r="C256" t="s">
        <v>397</v>
      </c>
      <c r="D256" t="s">
        <v>70</v>
      </c>
      <c r="E256" t="s">
        <v>35</v>
      </c>
      <c r="F256" t="s">
        <v>30</v>
      </c>
      <c r="G256">
        <v>2</v>
      </c>
      <c r="H256">
        <v>122.76</v>
      </c>
      <c r="I256">
        <v>0.1</v>
      </c>
      <c r="J256">
        <v>220.97</v>
      </c>
      <c r="K256">
        <v>178.69</v>
      </c>
      <c r="L256">
        <v>42.28</v>
      </c>
      <c r="M256" t="s">
        <v>31</v>
      </c>
      <c r="N256" t="str">
        <f t="shared" si="7"/>
        <v>OK</v>
      </c>
      <c r="O256" s="7" t="str">
        <f t="shared" si="8"/>
        <v>OK</v>
      </c>
    </row>
    <row r="257" spans="1:15">
      <c r="A257" t="s">
        <v>301</v>
      </c>
      <c r="B257" s="2">
        <v>45731</v>
      </c>
      <c r="C257" t="s">
        <v>112</v>
      </c>
      <c r="D257" t="s">
        <v>70</v>
      </c>
      <c r="E257" t="s">
        <v>35</v>
      </c>
      <c r="F257" t="s">
        <v>23</v>
      </c>
      <c r="G257">
        <v>2</v>
      </c>
      <c r="H257">
        <v>117.05</v>
      </c>
      <c r="I257">
        <v>0.05</v>
      </c>
      <c r="J257">
        <v>222.4</v>
      </c>
      <c r="K257">
        <v>174.35</v>
      </c>
      <c r="L257">
        <v>48.05</v>
      </c>
      <c r="M257" t="s">
        <v>18</v>
      </c>
      <c r="N257" t="str">
        <f t="shared" si="7"/>
        <v>OK</v>
      </c>
      <c r="O257" s="7" t="str">
        <f t="shared" si="8"/>
        <v>OK</v>
      </c>
    </row>
    <row r="258" spans="1:15">
      <c r="A258" t="s">
        <v>452</v>
      </c>
      <c r="B258" s="2">
        <v>45674</v>
      </c>
      <c r="C258" t="s">
        <v>355</v>
      </c>
      <c r="D258" t="s">
        <v>70</v>
      </c>
      <c r="E258" t="s">
        <v>35</v>
      </c>
      <c r="F258" t="s">
        <v>36</v>
      </c>
      <c r="G258">
        <v>5</v>
      </c>
      <c r="H258">
        <v>47.11</v>
      </c>
      <c r="I258">
        <v>0.05</v>
      </c>
      <c r="J258">
        <v>223.77</v>
      </c>
      <c r="K258">
        <v>159.5</v>
      </c>
      <c r="L258">
        <v>64.27</v>
      </c>
      <c r="M258" t="s">
        <v>18</v>
      </c>
      <c r="N258" t="str">
        <f t="shared" ref="N258:N321" si="9">IF(ABS(ROUND(G258*H258*(1-I258),2)-J258)&lt;=0.01,"OK","Mismatch")</f>
        <v>OK</v>
      </c>
      <c r="O258" s="7" t="str">
        <f t="shared" ref="O258:O321" si="10">IF(ROUND(J258-K258,2)=ROUND(L258,2),"OK","Mismatch")</f>
        <v>OK</v>
      </c>
    </row>
    <row r="259" spans="1:15">
      <c r="A259" t="s">
        <v>697</v>
      </c>
      <c r="B259" s="2">
        <v>45759</v>
      </c>
      <c r="C259" t="s">
        <v>698</v>
      </c>
      <c r="D259" t="s">
        <v>70</v>
      </c>
      <c r="E259" t="s">
        <v>35</v>
      </c>
      <c r="F259" t="s">
        <v>30</v>
      </c>
      <c r="G259">
        <v>2</v>
      </c>
      <c r="H259">
        <v>124.51</v>
      </c>
      <c r="I259">
        <v>0.1</v>
      </c>
      <c r="J259">
        <v>224.12</v>
      </c>
      <c r="K259">
        <v>185.74</v>
      </c>
      <c r="L259">
        <v>38.380000000000003</v>
      </c>
      <c r="M259" t="s">
        <v>18</v>
      </c>
      <c r="N259" t="str">
        <f t="shared" si="9"/>
        <v>OK</v>
      </c>
      <c r="O259" s="7" t="str">
        <f t="shared" si="10"/>
        <v>OK</v>
      </c>
    </row>
    <row r="260" spans="1:15">
      <c r="A260" t="s">
        <v>179</v>
      </c>
      <c r="B260" s="2">
        <v>45795</v>
      </c>
      <c r="C260" t="s">
        <v>180</v>
      </c>
      <c r="D260" t="s">
        <v>45</v>
      </c>
      <c r="E260" t="s">
        <v>22</v>
      </c>
      <c r="F260" t="s">
        <v>36</v>
      </c>
      <c r="G260">
        <v>4</v>
      </c>
      <c r="H260">
        <v>59.25</v>
      </c>
      <c r="I260">
        <v>0.05</v>
      </c>
      <c r="J260">
        <v>225.15</v>
      </c>
      <c r="K260">
        <v>170.95</v>
      </c>
      <c r="L260">
        <v>54.2</v>
      </c>
      <c r="M260" t="s">
        <v>31</v>
      </c>
      <c r="N260" t="str">
        <f t="shared" si="9"/>
        <v>OK</v>
      </c>
      <c r="O260" s="7" t="str">
        <f t="shared" si="10"/>
        <v>OK</v>
      </c>
    </row>
    <row r="261" spans="1:15">
      <c r="A261" t="s">
        <v>91</v>
      </c>
      <c r="B261" s="2">
        <v>45725</v>
      </c>
      <c r="C261" t="s">
        <v>92</v>
      </c>
      <c r="D261" t="s">
        <v>41</v>
      </c>
      <c r="E261" t="s">
        <v>42</v>
      </c>
      <c r="F261" t="s">
        <v>36</v>
      </c>
      <c r="G261">
        <v>2</v>
      </c>
      <c r="H261">
        <v>127.01</v>
      </c>
      <c r="I261">
        <v>0.1</v>
      </c>
      <c r="J261">
        <v>228.62</v>
      </c>
      <c r="K261">
        <v>141.12</v>
      </c>
      <c r="L261">
        <v>87.5</v>
      </c>
      <c r="M261" t="s">
        <v>18</v>
      </c>
      <c r="N261" t="str">
        <f t="shared" si="9"/>
        <v>OK</v>
      </c>
      <c r="O261" s="7" t="str">
        <f t="shared" si="10"/>
        <v>OK</v>
      </c>
    </row>
    <row r="262" spans="1:15">
      <c r="A262" t="s">
        <v>591</v>
      </c>
      <c r="B262" s="2">
        <v>45824</v>
      </c>
      <c r="C262" t="s">
        <v>347</v>
      </c>
      <c r="D262" t="s">
        <v>34</v>
      </c>
      <c r="E262" t="s">
        <v>35</v>
      </c>
      <c r="F262" t="s">
        <v>30</v>
      </c>
      <c r="G262">
        <v>2</v>
      </c>
      <c r="H262">
        <v>127.92</v>
      </c>
      <c r="I262">
        <v>0.1</v>
      </c>
      <c r="J262">
        <v>230.26</v>
      </c>
      <c r="K262">
        <v>158.54</v>
      </c>
      <c r="L262">
        <v>71.72</v>
      </c>
      <c r="M262" t="s">
        <v>18</v>
      </c>
      <c r="N262" t="str">
        <f t="shared" si="9"/>
        <v>OK</v>
      </c>
      <c r="O262" s="7" t="str">
        <f t="shared" si="10"/>
        <v>OK</v>
      </c>
    </row>
    <row r="263" spans="1:15">
      <c r="A263" t="s">
        <v>625</v>
      </c>
      <c r="B263" s="2">
        <v>45680</v>
      </c>
      <c r="C263" t="s">
        <v>474</v>
      </c>
      <c r="D263" t="s">
        <v>139</v>
      </c>
      <c r="E263" t="s">
        <v>16</v>
      </c>
      <c r="F263" t="s">
        <v>30</v>
      </c>
      <c r="G263">
        <v>4</v>
      </c>
      <c r="H263">
        <v>57.74</v>
      </c>
      <c r="I263">
        <v>0</v>
      </c>
      <c r="J263">
        <v>230.96</v>
      </c>
      <c r="K263">
        <v>144.35</v>
      </c>
      <c r="L263">
        <v>86.61</v>
      </c>
      <c r="M263" t="s">
        <v>18</v>
      </c>
      <c r="N263" t="str">
        <f t="shared" si="9"/>
        <v>OK</v>
      </c>
      <c r="O263" s="7" t="str">
        <f t="shared" si="10"/>
        <v>OK</v>
      </c>
    </row>
    <row r="264" spans="1:15">
      <c r="A264" t="s">
        <v>184</v>
      </c>
      <c r="B264" s="2">
        <v>45934</v>
      </c>
      <c r="C264" t="s">
        <v>185</v>
      </c>
      <c r="D264" t="s">
        <v>34</v>
      </c>
      <c r="E264" t="s">
        <v>35</v>
      </c>
      <c r="F264" t="s">
        <v>36</v>
      </c>
      <c r="G264">
        <v>3</v>
      </c>
      <c r="H264">
        <v>96.62</v>
      </c>
      <c r="I264">
        <v>0.2</v>
      </c>
      <c r="J264">
        <v>231.89</v>
      </c>
      <c r="K264">
        <v>169.41</v>
      </c>
      <c r="L264">
        <v>62.48</v>
      </c>
      <c r="M264" t="s">
        <v>18</v>
      </c>
      <c r="N264" t="str">
        <f t="shared" si="9"/>
        <v>OK</v>
      </c>
      <c r="O264" s="7" t="str">
        <f t="shared" si="10"/>
        <v>OK</v>
      </c>
    </row>
    <row r="265" spans="1:15">
      <c r="A265" t="s">
        <v>701</v>
      </c>
      <c r="B265" s="2">
        <v>45965</v>
      </c>
      <c r="C265" t="s">
        <v>120</v>
      </c>
      <c r="D265" t="s">
        <v>15</v>
      </c>
      <c r="E265" t="s">
        <v>16</v>
      </c>
      <c r="F265" t="s">
        <v>23</v>
      </c>
      <c r="G265">
        <v>4</v>
      </c>
      <c r="H265">
        <v>68.27</v>
      </c>
      <c r="I265">
        <v>0.15</v>
      </c>
      <c r="J265">
        <v>232.12</v>
      </c>
      <c r="K265">
        <v>151.33000000000001</v>
      </c>
      <c r="L265">
        <v>80.790000000000006</v>
      </c>
      <c r="M265" t="s">
        <v>31</v>
      </c>
      <c r="N265" t="str">
        <f t="shared" si="9"/>
        <v>OK</v>
      </c>
      <c r="O265" s="7" t="str">
        <f t="shared" si="10"/>
        <v>OK</v>
      </c>
    </row>
    <row r="266" spans="1:15">
      <c r="A266" t="s">
        <v>175</v>
      </c>
      <c r="B266" s="2">
        <v>45998</v>
      </c>
      <c r="C266" t="s">
        <v>176</v>
      </c>
      <c r="D266" t="s">
        <v>110</v>
      </c>
      <c r="E266" t="s">
        <v>35</v>
      </c>
      <c r="F266" t="s">
        <v>36</v>
      </c>
      <c r="G266">
        <v>3</v>
      </c>
      <c r="H266">
        <v>77.400000000000006</v>
      </c>
      <c r="I266">
        <v>0</v>
      </c>
      <c r="J266">
        <v>232.2</v>
      </c>
      <c r="K266">
        <v>129.72</v>
      </c>
      <c r="L266">
        <v>102.48</v>
      </c>
      <c r="M266" t="s">
        <v>31</v>
      </c>
      <c r="N266" t="str">
        <f t="shared" si="9"/>
        <v>OK</v>
      </c>
      <c r="O266" s="7" t="str">
        <f t="shared" si="10"/>
        <v>OK</v>
      </c>
    </row>
    <row r="267" spans="1:15">
      <c r="A267" t="s">
        <v>49</v>
      </c>
      <c r="B267" s="2">
        <v>45946</v>
      </c>
      <c r="C267" t="s">
        <v>50</v>
      </c>
      <c r="D267" t="s">
        <v>21</v>
      </c>
      <c r="E267" t="s">
        <v>22</v>
      </c>
      <c r="F267" t="s">
        <v>30</v>
      </c>
      <c r="G267">
        <v>4</v>
      </c>
      <c r="H267">
        <v>58.48</v>
      </c>
      <c r="I267">
        <v>0</v>
      </c>
      <c r="J267">
        <v>233.92</v>
      </c>
      <c r="K267">
        <v>142.61000000000001</v>
      </c>
      <c r="L267">
        <v>91.31</v>
      </c>
      <c r="M267" t="s">
        <v>18</v>
      </c>
      <c r="N267" t="str">
        <f t="shared" si="9"/>
        <v>OK</v>
      </c>
      <c r="O267" s="7" t="str">
        <f t="shared" si="10"/>
        <v>OK</v>
      </c>
    </row>
    <row r="268" spans="1:15">
      <c r="A268" t="s">
        <v>508</v>
      </c>
      <c r="B268" s="2">
        <v>45833</v>
      </c>
      <c r="C268" t="s">
        <v>509</v>
      </c>
      <c r="D268" t="s">
        <v>139</v>
      </c>
      <c r="E268" t="s">
        <v>16</v>
      </c>
      <c r="F268" t="s">
        <v>23</v>
      </c>
      <c r="G268">
        <v>3</v>
      </c>
      <c r="H268">
        <v>78.459999999999994</v>
      </c>
      <c r="I268">
        <v>0</v>
      </c>
      <c r="J268">
        <v>235.38</v>
      </c>
      <c r="K268">
        <v>177.27</v>
      </c>
      <c r="L268">
        <v>58.11</v>
      </c>
      <c r="M268" t="s">
        <v>31</v>
      </c>
      <c r="N268" t="str">
        <f t="shared" si="9"/>
        <v>OK</v>
      </c>
      <c r="O268" s="7" t="str">
        <f t="shared" si="10"/>
        <v>OK</v>
      </c>
    </row>
    <row r="269" spans="1:15">
      <c r="A269" t="s">
        <v>558</v>
      </c>
      <c r="B269" s="2">
        <v>45875</v>
      </c>
      <c r="C269" t="s">
        <v>307</v>
      </c>
      <c r="D269" t="s">
        <v>45</v>
      </c>
      <c r="E269" t="s">
        <v>22</v>
      </c>
      <c r="F269" t="s">
        <v>36</v>
      </c>
      <c r="G269">
        <v>5</v>
      </c>
      <c r="H269">
        <v>47.26</v>
      </c>
      <c r="I269">
        <v>0</v>
      </c>
      <c r="J269">
        <v>236.3</v>
      </c>
      <c r="K269">
        <v>164.28</v>
      </c>
      <c r="L269">
        <v>72.02</v>
      </c>
      <c r="M269" t="s">
        <v>24</v>
      </c>
      <c r="N269" t="str">
        <f t="shared" si="9"/>
        <v>OK</v>
      </c>
      <c r="O269" s="7" t="str">
        <f t="shared" si="10"/>
        <v>OK</v>
      </c>
    </row>
    <row r="270" spans="1:15">
      <c r="A270" t="s">
        <v>387</v>
      </c>
      <c r="B270" s="2">
        <v>45915</v>
      </c>
      <c r="C270" t="s">
        <v>14</v>
      </c>
      <c r="D270" t="s">
        <v>105</v>
      </c>
      <c r="E270" t="s">
        <v>42</v>
      </c>
      <c r="F270" t="s">
        <v>17</v>
      </c>
      <c r="G270">
        <v>4</v>
      </c>
      <c r="H270">
        <v>60.14</v>
      </c>
      <c r="I270">
        <v>0</v>
      </c>
      <c r="J270">
        <v>240.56</v>
      </c>
      <c r="K270">
        <v>158.30000000000001</v>
      </c>
      <c r="L270">
        <v>82.26</v>
      </c>
      <c r="M270" t="s">
        <v>31</v>
      </c>
      <c r="N270" t="str">
        <f t="shared" si="9"/>
        <v>OK</v>
      </c>
      <c r="O270" s="7" t="str">
        <f t="shared" si="10"/>
        <v>OK</v>
      </c>
    </row>
    <row r="271" spans="1:15">
      <c r="A271" t="s">
        <v>492</v>
      </c>
      <c r="B271" s="2">
        <v>45706</v>
      </c>
      <c r="C271" t="s">
        <v>187</v>
      </c>
      <c r="D271" t="s">
        <v>15</v>
      </c>
      <c r="E271" t="s">
        <v>16</v>
      </c>
      <c r="F271" t="s">
        <v>30</v>
      </c>
      <c r="G271">
        <v>3</v>
      </c>
      <c r="H271">
        <v>84.96</v>
      </c>
      <c r="I271">
        <v>0.05</v>
      </c>
      <c r="J271">
        <v>242.14</v>
      </c>
      <c r="K271">
        <v>176.1</v>
      </c>
      <c r="L271">
        <v>66.040000000000006</v>
      </c>
      <c r="M271" t="s">
        <v>31</v>
      </c>
      <c r="N271" t="str">
        <f t="shared" si="9"/>
        <v>OK</v>
      </c>
      <c r="O271" s="7" t="str">
        <f t="shared" si="10"/>
        <v>OK</v>
      </c>
    </row>
    <row r="272" spans="1:15">
      <c r="A272" t="s">
        <v>568</v>
      </c>
      <c r="B272" s="2">
        <v>45904</v>
      </c>
      <c r="C272" t="s">
        <v>114</v>
      </c>
      <c r="D272" t="s">
        <v>88</v>
      </c>
      <c r="E272" t="s">
        <v>16</v>
      </c>
      <c r="F272" t="s">
        <v>30</v>
      </c>
      <c r="G272">
        <v>2</v>
      </c>
      <c r="H272">
        <v>128.11000000000001</v>
      </c>
      <c r="I272">
        <v>0.05</v>
      </c>
      <c r="J272">
        <v>243.41</v>
      </c>
      <c r="K272">
        <v>203.46</v>
      </c>
      <c r="L272">
        <v>39.950000000000003</v>
      </c>
      <c r="M272" t="s">
        <v>18</v>
      </c>
      <c r="N272" t="str">
        <f t="shared" si="9"/>
        <v>OK</v>
      </c>
      <c r="O272" s="7" t="str">
        <f t="shared" si="10"/>
        <v>OK</v>
      </c>
    </row>
    <row r="273" spans="1:15">
      <c r="A273" t="s">
        <v>512</v>
      </c>
      <c r="B273" s="2">
        <v>45781</v>
      </c>
      <c r="C273" t="s">
        <v>55</v>
      </c>
      <c r="D273" t="s">
        <v>34</v>
      </c>
      <c r="E273" t="s">
        <v>35</v>
      </c>
      <c r="F273" t="s">
        <v>17</v>
      </c>
      <c r="G273">
        <v>5</v>
      </c>
      <c r="H273">
        <v>57.75</v>
      </c>
      <c r="I273">
        <v>0.15</v>
      </c>
      <c r="J273">
        <v>245.44</v>
      </c>
      <c r="K273">
        <v>143.54</v>
      </c>
      <c r="L273">
        <v>101.9</v>
      </c>
      <c r="M273" t="s">
        <v>18</v>
      </c>
      <c r="N273" t="str">
        <f t="shared" si="9"/>
        <v>OK</v>
      </c>
      <c r="O273" s="7" t="str">
        <f t="shared" si="10"/>
        <v>OK</v>
      </c>
    </row>
    <row r="274" spans="1:15">
      <c r="A274" t="s">
        <v>470</v>
      </c>
      <c r="B274" s="2">
        <v>45982</v>
      </c>
      <c r="C274" t="s">
        <v>385</v>
      </c>
      <c r="D274" t="s">
        <v>34</v>
      </c>
      <c r="E274" t="s">
        <v>35</v>
      </c>
      <c r="F274" t="s">
        <v>17</v>
      </c>
      <c r="G274">
        <v>2</v>
      </c>
      <c r="H274">
        <v>136.80000000000001</v>
      </c>
      <c r="I274">
        <v>0.1</v>
      </c>
      <c r="J274">
        <v>246.24</v>
      </c>
      <c r="K274">
        <v>181.3</v>
      </c>
      <c r="L274">
        <v>64.94</v>
      </c>
      <c r="M274" t="s">
        <v>18</v>
      </c>
      <c r="N274" t="str">
        <f t="shared" si="9"/>
        <v>OK</v>
      </c>
      <c r="O274" s="7" t="str">
        <f t="shared" si="10"/>
        <v>OK</v>
      </c>
    </row>
    <row r="275" spans="1:15">
      <c r="A275" t="s">
        <v>324</v>
      </c>
      <c r="B275" s="2">
        <v>45679</v>
      </c>
      <c r="C275" t="s">
        <v>234</v>
      </c>
      <c r="D275" t="s">
        <v>53</v>
      </c>
      <c r="E275" t="s">
        <v>42</v>
      </c>
      <c r="F275" t="s">
        <v>17</v>
      </c>
      <c r="G275">
        <v>3</v>
      </c>
      <c r="H275">
        <v>91.32</v>
      </c>
      <c r="I275">
        <v>0.1</v>
      </c>
      <c r="J275">
        <v>246.56</v>
      </c>
      <c r="K275">
        <v>176.51</v>
      </c>
      <c r="L275">
        <v>70.05</v>
      </c>
      <c r="M275" t="s">
        <v>18</v>
      </c>
      <c r="N275" t="str">
        <f t="shared" si="9"/>
        <v>OK</v>
      </c>
      <c r="O275" s="7" t="str">
        <f t="shared" si="10"/>
        <v>OK</v>
      </c>
    </row>
    <row r="276" spans="1:15">
      <c r="A276" t="s">
        <v>503</v>
      </c>
      <c r="B276" s="2">
        <v>45719</v>
      </c>
      <c r="C276" t="s">
        <v>98</v>
      </c>
      <c r="D276" t="s">
        <v>45</v>
      </c>
      <c r="E276" t="s">
        <v>22</v>
      </c>
      <c r="F276" t="s">
        <v>17</v>
      </c>
      <c r="G276">
        <v>3</v>
      </c>
      <c r="H276">
        <v>91.59</v>
      </c>
      <c r="I276">
        <v>0.1</v>
      </c>
      <c r="J276">
        <v>247.29</v>
      </c>
      <c r="K276">
        <v>139.25</v>
      </c>
      <c r="L276">
        <v>108.04</v>
      </c>
      <c r="M276" t="s">
        <v>31</v>
      </c>
      <c r="N276" t="str">
        <f t="shared" si="9"/>
        <v>OK</v>
      </c>
      <c r="O276" s="7" t="str">
        <f t="shared" si="10"/>
        <v>OK</v>
      </c>
    </row>
    <row r="277" spans="1:15">
      <c r="A277" t="s">
        <v>696</v>
      </c>
      <c r="B277" s="2">
        <v>45760</v>
      </c>
      <c r="C277" t="s">
        <v>342</v>
      </c>
      <c r="D277" t="s">
        <v>56</v>
      </c>
      <c r="E277" t="s">
        <v>16</v>
      </c>
      <c r="F277" t="s">
        <v>17</v>
      </c>
      <c r="G277">
        <v>4</v>
      </c>
      <c r="H277">
        <v>73.319999999999993</v>
      </c>
      <c r="I277">
        <v>0.15</v>
      </c>
      <c r="J277">
        <v>249.29</v>
      </c>
      <c r="K277">
        <v>166.43</v>
      </c>
      <c r="L277">
        <v>82.86</v>
      </c>
      <c r="M277" t="s">
        <v>18</v>
      </c>
      <c r="N277" t="str">
        <f t="shared" si="9"/>
        <v>OK</v>
      </c>
      <c r="O277" s="7" t="str">
        <f t="shared" si="10"/>
        <v>OK</v>
      </c>
    </row>
    <row r="278" spans="1:15">
      <c r="A278" t="s">
        <v>380</v>
      </c>
      <c r="B278" s="2">
        <v>45872</v>
      </c>
      <c r="C278" t="s">
        <v>379</v>
      </c>
      <c r="D278" t="s">
        <v>21</v>
      </c>
      <c r="E278" t="s">
        <v>22</v>
      </c>
      <c r="F278" t="s">
        <v>36</v>
      </c>
      <c r="G278">
        <v>2</v>
      </c>
      <c r="H278">
        <v>124.98</v>
      </c>
      <c r="I278">
        <v>0</v>
      </c>
      <c r="J278">
        <v>249.96</v>
      </c>
      <c r="K278">
        <v>171.74</v>
      </c>
      <c r="L278">
        <v>78.22</v>
      </c>
      <c r="M278" t="s">
        <v>18</v>
      </c>
      <c r="N278" t="str">
        <f t="shared" si="9"/>
        <v>OK</v>
      </c>
      <c r="O278" s="7" t="str">
        <f t="shared" si="10"/>
        <v>OK</v>
      </c>
    </row>
    <row r="279" spans="1:15">
      <c r="A279" t="s">
        <v>108</v>
      </c>
      <c r="B279" s="2">
        <v>45970</v>
      </c>
      <c r="C279" t="s">
        <v>109</v>
      </c>
      <c r="D279" t="s">
        <v>110</v>
      </c>
      <c r="E279" t="s">
        <v>35</v>
      </c>
      <c r="F279" t="s">
        <v>30</v>
      </c>
      <c r="G279">
        <v>2</v>
      </c>
      <c r="H279">
        <v>147.34</v>
      </c>
      <c r="I279">
        <v>0.15</v>
      </c>
      <c r="J279">
        <v>250.48</v>
      </c>
      <c r="K279">
        <v>206.39</v>
      </c>
      <c r="L279">
        <v>44.09</v>
      </c>
      <c r="M279" t="s">
        <v>18</v>
      </c>
      <c r="N279" t="str">
        <f t="shared" si="9"/>
        <v>OK</v>
      </c>
      <c r="O279" s="7" t="str">
        <f t="shared" si="10"/>
        <v>OK</v>
      </c>
    </row>
    <row r="280" spans="1:15">
      <c r="A280" t="s">
        <v>188</v>
      </c>
      <c r="B280" s="2">
        <v>45871</v>
      </c>
      <c r="C280" t="s">
        <v>189</v>
      </c>
      <c r="D280" t="s">
        <v>110</v>
      </c>
      <c r="E280" t="s">
        <v>35</v>
      </c>
      <c r="F280" t="s">
        <v>36</v>
      </c>
      <c r="G280">
        <v>2</v>
      </c>
      <c r="H280">
        <v>126.75</v>
      </c>
      <c r="I280">
        <v>0</v>
      </c>
      <c r="J280">
        <v>253.5</v>
      </c>
      <c r="K280">
        <v>200.22</v>
      </c>
      <c r="L280">
        <v>53.28</v>
      </c>
      <c r="M280" t="s">
        <v>18</v>
      </c>
      <c r="N280" t="str">
        <f t="shared" si="9"/>
        <v>OK</v>
      </c>
      <c r="O280" s="7" t="str">
        <f t="shared" si="10"/>
        <v>OK</v>
      </c>
    </row>
    <row r="281" spans="1:15">
      <c r="A281" t="s">
        <v>465</v>
      </c>
      <c r="B281" s="2">
        <v>45904</v>
      </c>
      <c r="C281" t="s">
        <v>138</v>
      </c>
      <c r="D281" t="s">
        <v>70</v>
      </c>
      <c r="E281" t="s">
        <v>35</v>
      </c>
      <c r="F281" t="s">
        <v>17</v>
      </c>
      <c r="G281">
        <v>5</v>
      </c>
      <c r="H281">
        <v>63.56</v>
      </c>
      <c r="I281">
        <v>0.2</v>
      </c>
      <c r="J281">
        <v>254.24</v>
      </c>
      <c r="K281">
        <v>214.56</v>
      </c>
      <c r="L281">
        <v>39.68</v>
      </c>
      <c r="M281" t="s">
        <v>18</v>
      </c>
      <c r="N281" t="str">
        <f t="shared" si="9"/>
        <v>OK</v>
      </c>
      <c r="O281" s="7" t="str">
        <f t="shared" si="10"/>
        <v>OK</v>
      </c>
    </row>
    <row r="282" spans="1:15">
      <c r="A282" t="s">
        <v>576</v>
      </c>
      <c r="B282" s="2">
        <v>45860</v>
      </c>
      <c r="C282" t="s">
        <v>161</v>
      </c>
      <c r="D282" t="s">
        <v>105</v>
      </c>
      <c r="E282" t="s">
        <v>42</v>
      </c>
      <c r="F282" t="s">
        <v>30</v>
      </c>
      <c r="G282">
        <v>2</v>
      </c>
      <c r="H282">
        <v>158.91</v>
      </c>
      <c r="I282">
        <v>0.2</v>
      </c>
      <c r="J282">
        <v>254.26</v>
      </c>
      <c r="K282">
        <v>141.94</v>
      </c>
      <c r="L282">
        <v>112.32</v>
      </c>
      <c r="M282" t="s">
        <v>18</v>
      </c>
      <c r="N282" t="str">
        <f t="shared" si="9"/>
        <v>OK</v>
      </c>
      <c r="O282" s="7" t="str">
        <f t="shared" si="10"/>
        <v>OK</v>
      </c>
    </row>
    <row r="283" spans="1:15">
      <c r="A283" t="s">
        <v>449</v>
      </c>
      <c r="B283" s="2">
        <v>45811</v>
      </c>
      <c r="C283" t="s">
        <v>118</v>
      </c>
      <c r="D283" t="s">
        <v>139</v>
      </c>
      <c r="E283" t="s">
        <v>16</v>
      </c>
      <c r="F283" t="s">
        <v>23</v>
      </c>
      <c r="G283">
        <v>2</v>
      </c>
      <c r="H283">
        <v>133.97999999999999</v>
      </c>
      <c r="I283">
        <v>0.05</v>
      </c>
      <c r="J283">
        <v>254.56</v>
      </c>
      <c r="K283">
        <v>149.78</v>
      </c>
      <c r="L283">
        <v>104.78</v>
      </c>
      <c r="M283" t="s">
        <v>31</v>
      </c>
      <c r="N283" t="str">
        <f t="shared" si="9"/>
        <v>OK</v>
      </c>
      <c r="O283" s="7" t="str">
        <f t="shared" si="10"/>
        <v>OK</v>
      </c>
    </row>
    <row r="284" spans="1:15">
      <c r="A284" t="s">
        <v>93</v>
      </c>
      <c r="B284" s="2">
        <v>45833</v>
      </c>
      <c r="C284" t="s">
        <v>94</v>
      </c>
      <c r="D284" t="s">
        <v>48</v>
      </c>
      <c r="E284" t="s">
        <v>35</v>
      </c>
      <c r="F284" t="s">
        <v>36</v>
      </c>
      <c r="G284">
        <v>4</v>
      </c>
      <c r="H284">
        <v>71.03</v>
      </c>
      <c r="I284">
        <v>0.1</v>
      </c>
      <c r="J284">
        <v>255.71</v>
      </c>
      <c r="K284">
        <v>195.95</v>
      </c>
      <c r="L284">
        <v>59.76</v>
      </c>
      <c r="M284" t="s">
        <v>18</v>
      </c>
      <c r="N284" t="str">
        <f t="shared" si="9"/>
        <v>OK</v>
      </c>
      <c r="O284" s="7" t="str">
        <f t="shared" si="10"/>
        <v>OK</v>
      </c>
    </row>
    <row r="285" spans="1:15">
      <c r="A285" t="s">
        <v>539</v>
      </c>
      <c r="B285" s="2">
        <v>46000</v>
      </c>
      <c r="C285" t="s">
        <v>540</v>
      </c>
      <c r="D285" t="s">
        <v>88</v>
      </c>
      <c r="E285" t="s">
        <v>16</v>
      </c>
      <c r="F285" t="s">
        <v>36</v>
      </c>
      <c r="G285">
        <v>2</v>
      </c>
      <c r="H285">
        <v>142.68</v>
      </c>
      <c r="I285">
        <v>0.1</v>
      </c>
      <c r="J285">
        <v>256.82</v>
      </c>
      <c r="K285">
        <v>186.98</v>
      </c>
      <c r="L285">
        <v>69.84</v>
      </c>
      <c r="M285" t="s">
        <v>18</v>
      </c>
      <c r="N285" t="str">
        <f t="shared" si="9"/>
        <v>OK</v>
      </c>
      <c r="O285" s="7" t="str">
        <f t="shared" si="10"/>
        <v>OK</v>
      </c>
    </row>
    <row r="286" spans="1:15">
      <c r="A286" t="s">
        <v>486</v>
      </c>
      <c r="B286" s="2">
        <v>45858</v>
      </c>
      <c r="C286" t="s">
        <v>476</v>
      </c>
      <c r="D286" t="s">
        <v>88</v>
      </c>
      <c r="E286" t="s">
        <v>16</v>
      </c>
      <c r="F286" t="s">
        <v>23</v>
      </c>
      <c r="G286">
        <v>5</v>
      </c>
      <c r="H286">
        <v>51.4</v>
      </c>
      <c r="I286">
        <v>0</v>
      </c>
      <c r="J286">
        <v>257</v>
      </c>
      <c r="K286">
        <v>179</v>
      </c>
      <c r="L286">
        <v>78</v>
      </c>
      <c r="M286" t="s">
        <v>31</v>
      </c>
      <c r="N286" t="str">
        <f t="shared" si="9"/>
        <v>OK</v>
      </c>
      <c r="O286" s="7" t="str">
        <f t="shared" si="10"/>
        <v>OK</v>
      </c>
    </row>
    <row r="287" spans="1:15">
      <c r="A287" t="s">
        <v>659</v>
      </c>
      <c r="B287" s="2">
        <v>46012</v>
      </c>
      <c r="C287" t="s">
        <v>359</v>
      </c>
      <c r="D287" t="s">
        <v>53</v>
      </c>
      <c r="E287" t="s">
        <v>42</v>
      </c>
      <c r="F287" t="s">
        <v>23</v>
      </c>
      <c r="G287">
        <v>2</v>
      </c>
      <c r="H287">
        <v>129.46</v>
      </c>
      <c r="I287">
        <v>0</v>
      </c>
      <c r="J287">
        <v>258.92</v>
      </c>
      <c r="K287">
        <v>152.71</v>
      </c>
      <c r="L287">
        <v>106.21</v>
      </c>
      <c r="M287" t="s">
        <v>18</v>
      </c>
      <c r="N287" t="str">
        <f t="shared" si="9"/>
        <v>OK</v>
      </c>
      <c r="O287" s="7" t="str">
        <f t="shared" si="10"/>
        <v>OK</v>
      </c>
    </row>
    <row r="288" spans="1:15">
      <c r="A288" t="s">
        <v>252</v>
      </c>
      <c r="B288" s="2">
        <v>46016</v>
      </c>
      <c r="C288" t="s">
        <v>253</v>
      </c>
      <c r="D288" t="s">
        <v>110</v>
      </c>
      <c r="E288" t="s">
        <v>35</v>
      </c>
      <c r="F288" t="s">
        <v>17</v>
      </c>
      <c r="G288">
        <v>3</v>
      </c>
      <c r="H288">
        <v>96.14</v>
      </c>
      <c r="I288">
        <v>0.1</v>
      </c>
      <c r="J288">
        <v>259.58</v>
      </c>
      <c r="K288">
        <v>197.19</v>
      </c>
      <c r="L288">
        <v>62.39</v>
      </c>
      <c r="M288" t="s">
        <v>18</v>
      </c>
      <c r="N288" t="str">
        <f t="shared" si="9"/>
        <v>OK</v>
      </c>
      <c r="O288" s="7" t="str">
        <f t="shared" si="10"/>
        <v>OK</v>
      </c>
    </row>
    <row r="289" spans="1:15">
      <c r="A289" t="s">
        <v>655</v>
      </c>
      <c r="B289" s="2">
        <v>45887</v>
      </c>
      <c r="C289" t="s">
        <v>90</v>
      </c>
      <c r="D289" t="s">
        <v>77</v>
      </c>
      <c r="E289" t="s">
        <v>22</v>
      </c>
      <c r="F289" t="s">
        <v>36</v>
      </c>
      <c r="G289">
        <v>3</v>
      </c>
      <c r="H289">
        <v>96.44</v>
      </c>
      <c r="I289">
        <v>0.1</v>
      </c>
      <c r="J289">
        <v>260.39</v>
      </c>
      <c r="K289">
        <v>177.31</v>
      </c>
      <c r="L289">
        <v>83.08</v>
      </c>
      <c r="M289" t="s">
        <v>31</v>
      </c>
      <c r="N289" t="str">
        <f t="shared" si="9"/>
        <v>OK</v>
      </c>
      <c r="O289" s="7" t="str">
        <f t="shared" si="10"/>
        <v>OK</v>
      </c>
    </row>
    <row r="290" spans="1:15">
      <c r="A290" t="s">
        <v>73</v>
      </c>
      <c r="B290" s="2">
        <v>45770</v>
      </c>
      <c r="C290" t="s">
        <v>74</v>
      </c>
      <c r="D290" t="s">
        <v>53</v>
      </c>
      <c r="E290" t="s">
        <v>42</v>
      </c>
      <c r="F290" t="s">
        <v>36</v>
      </c>
      <c r="G290">
        <v>2</v>
      </c>
      <c r="H290">
        <v>130.51</v>
      </c>
      <c r="I290">
        <v>0</v>
      </c>
      <c r="J290">
        <v>261.02</v>
      </c>
      <c r="K290">
        <v>221.69</v>
      </c>
      <c r="L290">
        <v>39.33</v>
      </c>
      <c r="M290" t="s">
        <v>18</v>
      </c>
      <c r="N290" t="str">
        <f t="shared" si="9"/>
        <v>OK</v>
      </c>
      <c r="O290" s="7" t="str">
        <f t="shared" si="10"/>
        <v>OK</v>
      </c>
    </row>
    <row r="291" spans="1:15">
      <c r="A291" t="s">
        <v>192</v>
      </c>
      <c r="B291" s="2">
        <v>45671</v>
      </c>
      <c r="C291" t="s">
        <v>189</v>
      </c>
      <c r="D291" t="s">
        <v>139</v>
      </c>
      <c r="E291" t="s">
        <v>16</v>
      </c>
      <c r="F291" t="s">
        <v>17</v>
      </c>
      <c r="G291">
        <v>2</v>
      </c>
      <c r="H291">
        <v>138.71</v>
      </c>
      <c r="I291">
        <v>0.05</v>
      </c>
      <c r="J291">
        <v>263.55</v>
      </c>
      <c r="K291">
        <v>201.92</v>
      </c>
      <c r="L291">
        <v>61.63</v>
      </c>
      <c r="M291" t="s">
        <v>18</v>
      </c>
      <c r="N291" t="str">
        <f t="shared" si="9"/>
        <v>OK</v>
      </c>
      <c r="O291" s="7" t="str">
        <f t="shared" si="10"/>
        <v>OK</v>
      </c>
    </row>
    <row r="292" spans="1:15">
      <c r="A292" t="s">
        <v>343</v>
      </c>
      <c r="B292" s="2">
        <v>45822</v>
      </c>
      <c r="C292" t="s">
        <v>98</v>
      </c>
      <c r="D292" t="s">
        <v>70</v>
      </c>
      <c r="E292" t="s">
        <v>35</v>
      </c>
      <c r="F292" t="s">
        <v>30</v>
      </c>
      <c r="G292">
        <v>4</v>
      </c>
      <c r="H292">
        <v>73.25</v>
      </c>
      <c r="I292">
        <v>0.1</v>
      </c>
      <c r="J292">
        <v>263.7</v>
      </c>
      <c r="K292">
        <v>173.26</v>
      </c>
      <c r="L292">
        <v>90.44</v>
      </c>
      <c r="M292" t="s">
        <v>24</v>
      </c>
      <c r="N292" t="str">
        <f t="shared" si="9"/>
        <v>OK</v>
      </c>
      <c r="O292" s="7" t="str">
        <f t="shared" si="10"/>
        <v>OK</v>
      </c>
    </row>
    <row r="293" spans="1:15">
      <c r="A293" t="s">
        <v>466</v>
      </c>
      <c r="B293" s="2">
        <v>45884</v>
      </c>
      <c r="C293" t="s">
        <v>467</v>
      </c>
      <c r="D293" t="s">
        <v>70</v>
      </c>
      <c r="E293" t="s">
        <v>35</v>
      </c>
      <c r="F293" t="s">
        <v>23</v>
      </c>
      <c r="G293">
        <v>3</v>
      </c>
      <c r="H293">
        <v>98.71</v>
      </c>
      <c r="I293">
        <v>0.1</v>
      </c>
      <c r="J293">
        <v>266.52</v>
      </c>
      <c r="K293">
        <v>217.77</v>
      </c>
      <c r="L293">
        <v>48.75</v>
      </c>
      <c r="M293" t="s">
        <v>31</v>
      </c>
      <c r="N293" t="str">
        <f t="shared" si="9"/>
        <v>OK</v>
      </c>
      <c r="O293" s="7" t="str">
        <f t="shared" si="10"/>
        <v>OK</v>
      </c>
    </row>
    <row r="294" spans="1:15">
      <c r="A294" t="s">
        <v>257</v>
      </c>
      <c r="B294" s="2">
        <v>45925</v>
      </c>
      <c r="C294" t="s">
        <v>33</v>
      </c>
      <c r="D294" t="s">
        <v>41</v>
      </c>
      <c r="E294" t="s">
        <v>42</v>
      </c>
      <c r="F294" t="s">
        <v>17</v>
      </c>
      <c r="G294">
        <v>5</v>
      </c>
      <c r="H294">
        <v>53.35</v>
      </c>
      <c r="I294">
        <v>0</v>
      </c>
      <c r="J294">
        <v>266.75</v>
      </c>
      <c r="K294">
        <v>205.31</v>
      </c>
      <c r="L294">
        <v>61.44</v>
      </c>
      <c r="M294" t="s">
        <v>18</v>
      </c>
      <c r="N294" t="str">
        <f t="shared" si="9"/>
        <v>OK</v>
      </c>
      <c r="O294" s="7" t="str">
        <f t="shared" si="10"/>
        <v>OK</v>
      </c>
    </row>
    <row r="295" spans="1:15">
      <c r="A295" t="s">
        <v>584</v>
      </c>
      <c r="B295" s="2">
        <v>45975</v>
      </c>
      <c r="C295" t="s">
        <v>287</v>
      </c>
      <c r="D295" t="s">
        <v>34</v>
      </c>
      <c r="E295" t="s">
        <v>35</v>
      </c>
      <c r="F295" t="s">
        <v>30</v>
      </c>
      <c r="G295">
        <v>5</v>
      </c>
      <c r="H295">
        <v>56.59</v>
      </c>
      <c r="I295">
        <v>0.05</v>
      </c>
      <c r="J295">
        <v>268.8</v>
      </c>
      <c r="K295">
        <v>150.87</v>
      </c>
      <c r="L295">
        <v>117.93</v>
      </c>
      <c r="M295" t="s">
        <v>31</v>
      </c>
      <c r="N295" t="str">
        <f t="shared" si="9"/>
        <v>OK</v>
      </c>
      <c r="O295" s="7" t="str">
        <f t="shared" si="10"/>
        <v>OK</v>
      </c>
    </row>
    <row r="296" spans="1:15">
      <c r="A296" t="s">
        <v>626</v>
      </c>
      <c r="B296" s="2">
        <v>45693</v>
      </c>
      <c r="C296" t="s">
        <v>484</v>
      </c>
      <c r="D296" t="s">
        <v>34</v>
      </c>
      <c r="E296" t="s">
        <v>35</v>
      </c>
      <c r="F296" t="s">
        <v>36</v>
      </c>
      <c r="G296">
        <v>2</v>
      </c>
      <c r="H296">
        <v>150.51</v>
      </c>
      <c r="I296">
        <v>0.1</v>
      </c>
      <c r="J296">
        <v>270.92</v>
      </c>
      <c r="K296">
        <v>174.02</v>
      </c>
      <c r="L296">
        <v>96.9</v>
      </c>
      <c r="M296" t="s">
        <v>31</v>
      </c>
      <c r="N296" t="str">
        <f t="shared" si="9"/>
        <v>OK</v>
      </c>
      <c r="O296" s="7" t="str">
        <f t="shared" si="10"/>
        <v>OK</v>
      </c>
    </row>
    <row r="297" spans="1:15">
      <c r="A297" t="s">
        <v>603</v>
      </c>
      <c r="B297" s="2">
        <v>45719</v>
      </c>
      <c r="C297" t="s">
        <v>427</v>
      </c>
      <c r="D297" t="s">
        <v>29</v>
      </c>
      <c r="E297" t="s">
        <v>22</v>
      </c>
      <c r="F297" t="s">
        <v>36</v>
      </c>
      <c r="G297">
        <v>5</v>
      </c>
      <c r="H297">
        <v>63.94</v>
      </c>
      <c r="I297">
        <v>0.15</v>
      </c>
      <c r="J297">
        <v>271.74</v>
      </c>
      <c r="K297">
        <v>224.03</v>
      </c>
      <c r="L297">
        <v>47.71</v>
      </c>
      <c r="M297" t="s">
        <v>18</v>
      </c>
      <c r="N297" t="str">
        <f t="shared" si="9"/>
        <v>OK</v>
      </c>
      <c r="O297" s="7" t="str">
        <f t="shared" si="10"/>
        <v>OK</v>
      </c>
    </row>
    <row r="298" spans="1:15">
      <c r="A298" t="s">
        <v>233</v>
      </c>
      <c r="B298" s="2">
        <v>45807</v>
      </c>
      <c r="C298" t="s">
        <v>234</v>
      </c>
      <c r="D298" t="s">
        <v>21</v>
      </c>
      <c r="E298" t="s">
        <v>22</v>
      </c>
      <c r="F298" t="s">
        <v>23</v>
      </c>
      <c r="G298">
        <v>4</v>
      </c>
      <c r="H298">
        <v>80.06</v>
      </c>
      <c r="I298">
        <v>0.15</v>
      </c>
      <c r="J298">
        <v>272.2</v>
      </c>
      <c r="K298">
        <v>179.3</v>
      </c>
      <c r="L298">
        <v>92.9</v>
      </c>
      <c r="M298" t="s">
        <v>18</v>
      </c>
      <c r="N298" t="str">
        <f t="shared" si="9"/>
        <v>OK</v>
      </c>
      <c r="O298" s="7" t="str">
        <f t="shared" si="10"/>
        <v>OK</v>
      </c>
    </row>
    <row r="299" spans="1:15">
      <c r="A299" t="s">
        <v>451</v>
      </c>
      <c r="B299" s="2">
        <v>45984</v>
      </c>
      <c r="C299" t="s">
        <v>63</v>
      </c>
      <c r="D299" t="s">
        <v>70</v>
      </c>
      <c r="E299" t="s">
        <v>35</v>
      </c>
      <c r="F299" t="s">
        <v>17</v>
      </c>
      <c r="G299">
        <v>4</v>
      </c>
      <c r="H299">
        <v>68.12</v>
      </c>
      <c r="I299">
        <v>0</v>
      </c>
      <c r="J299">
        <v>272.48</v>
      </c>
      <c r="K299">
        <v>162.22999999999999</v>
      </c>
      <c r="L299">
        <v>110.25</v>
      </c>
      <c r="M299" t="s">
        <v>24</v>
      </c>
      <c r="N299" t="str">
        <f t="shared" si="9"/>
        <v>OK</v>
      </c>
      <c r="O299" s="7" t="str">
        <f t="shared" si="10"/>
        <v>OK</v>
      </c>
    </row>
    <row r="300" spans="1:15">
      <c r="A300" t="s">
        <v>596</v>
      </c>
      <c r="B300" s="2">
        <v>45804</v>
      </c>
      <c r="C300" t="s">
        <v>266</v>
      </c>
      <c r="D300" t="s">
        <v>70</v>
      </c>
      <c r="E300" t="s">
        <v>35</v>
      </c>
      <c r="F300" t="s">
        <v>17</v>
      </c>
      <c r="G300">
        <v>3</v>
      </c>
      <c r="H300">
        <v>90.95</v>
      </c>
      <c r="I300">
        <v>0</v>
      </c>
      <c r="J300">
        <v>272.85000000000002</v>
      </c>
      <c r="K300">
        <v>228.77</v>
      </c>
      <c r="L300">
        <v>44.08</v>
      </c>
      <c r="M300" t="s">
        <v>18</v>
      </c>
      <c r="N300" t="str">
        <f t="shared" si="9"/>
        <v>OK</v>
      </c>
      <c r="O300" s="7" t="str">
        <f t="shared" si="10"/>
        <v>OK</v>
      </c>
    </row>
    <row r="301" spans="1:15">
      <c r="A301" t="s">
        <v>197</v>
      </c>
      <c r="B301" s="2">
        <v>45768</v>
      </c>
      <c r="C301" t="s">
        <v>114</v>
      </c>
      <c r="D301" t="s">
        <v>48</v>
      </c>
      <c r="E301" t="s">
        <v>35</v>
      </c>
      <c r="F301" t="s">
        <v>23</v>
      </c>
      <c r="G301">
        <v>2</v>
      </c>
      <c r="H301">
        <v>143.74</v>
      </c>
      <c r="I301">
        <v>0.05</v>
      </c>
      <c r="J301">
        <v>273.11</v>
      </c>
      <c r="K301">
        <v>157.33000000000001</v>
      </c>
      <c r="L301">
        <v>115.78</v>
      </c>
      <c r="M301" t="s">
        <v>18</v>
      </c>
      <c r="N301" t="str">
        <f t="shared" si="9"/>
        <v>OK</v>
      </c>
      <c r="O301" s="7" t="str">
        <f t="shared" si="10"/>
        <v>OK</v>
      </c>
    </row>
    <row r="302" spans="1:15">
      <c r="A302" t="s">
        <v>32</v>
      </c>
      <c r="B302" s="2">
        <v>46003</v>
      </c>
      <c r="C302" t="s">
        <v>33</v>
      </c>
      <c r="D302" t="s">
        <v>34</v>
      </c>
      <c r="E302" t="s">
        <v>35</v>
      </c>
      <c r="F302" t="s">
        <v>36</v>
      </c>
      <c r="G302">
        <v>2</v>
      </c>
      <c r="H302">
        <v>171.21</v>
      </c>
      <c r="I302">
        <v>0.2</v>
      </c>
      <c r="J302">
        <v>273.94</v>
      </c>
      <c r="K302">
        <v>217.1</v>
      </c>
      <c r="L302">
        <v>56.84</v>
      </c>
      <c r="M302" t="s">
        <v>18</v>
      </c>
      <c r="N302" t="str">
        <f t="shared" si="9"/>
        <v>OK</v>
      </c>
      <c r="O302" s="7" t="str">
        <f t="shared" si="10"/>
        <v>OK</v>
      </c>
    </row>
    <row r="303" spans="1:15">
      <c r="A303" t="s">
        <v>707</v>
      </c>
      <c r="B303" s="2">
        <v>45903</v>
      </c>
      <c r="C303" t="s">
        <v>214</v>
      </c>
      <c r="D303" t="s">
        <v>53</v>
      </c>
      <c r="E303" t="s">
        <v>42</v>
      </c>
      <c r="F303" t="s">
        <v>36</v>
      </c>
      <c r="G303">
        <v>2</v>
      </c>
      <c r="H303">
        <v>162.04</v>
      </c>
      <c r="I303">
        <v>0.15</v>
      </c>
      <c r="J303">
        <v>275.47000000000003</v>
      </c>
      <c r="K303">
        <v>177.45</v>
      </c>
      <c r="L303">
        <v>98.02</v>
      </c>
      <c r="M303" t="s">
        <v>18</v>
      </c>
      <c r="N303" t="str">
        <f t="shared" si="9"/>
        <v>OK</v>
      </c>
      <c r="O303" s="7" t="str">
        <f t="shared" si="10"/>
        <v>OK</v>
      </c>
    </row>
    <row r="304" spans="1:15">
      <c r="A304" t="s">
        <v>560</v>
      </c>
      <c r="B304" s="2">
        <v>45924</v>
      </c>
      <c r="C304" t="s">
        <v>38</v>
      </c>
      <c r="D304" t="s">
        <v>61</v>
      </c>
      <c r="E304" t="s">
        <v>42</v>
      </c>
      <c r="F304" t="s">
        <v>23</v>
      </c>
      <c r="G304">
        <v>2</v>
      </c>
      <c r="H304">
        <v>162.12</v>
      </c>
      <c r="I304">
        <v>0.15</v>
      </c>
      <c r="J304">
        <v>275.60000000000002</v>
      </c>
      <c r="K304">
        <v>177.64</v>
      </c>
      <c r="L304">
        <v>97.96</v>
      </c>
      <c r="M304" t="s">
        <v>18</v>
      </c>
      <c r="N304" t="str">
        <f t="shared" si="9"/>
        <v>OK</v>
      </c>
      <c r="O304" s="7" t="str">
        <f t="shared" si="10"/>
        <v>OK</v>
      </c>
    </row>
    <row r="305" spans="1:15">
      <c r="A305" t="s">
        <v>645</v>
      </c>
      <c r="B305" s="2">
        <v>45686</v>
      </c>
      <c r="C305" t="s">
        <v>297</v>
      </c>
      <c r="D305" t="s">
        <v>21</v>
      </c>
      <c r="E305" t="s">
        <v>22</v>
      </c>
      <c r="F305" t="s">
        <v>17</v>
      </c>
      <c r="G305">
        <v>2</v>
      </c>
      <c r="H305">
        <v>138.46</v>
      </c>
      <c r="I305">
        <v>0</v>
      </c>
      <c r="J305">
        <v>276.92</v>
      </c>
      <c r="K305">
        <v>169.52</v>
      </c>
      <c r="L305">
        <v>107.4</v>
      </c>
      <c r="M305" t="s">
        <v>24</v>
      </c>
      <c r="N305" t="str">
        <f t="shared" si="9"/>
        <v>OK</v>
      </c>
      <c r="O305" s="7" t="str">
        <f t="shared" si="10"/>
        <v>OK</v>
      </c>
    </row>
    <row r="306" spans="1:15">
      <c r="A306" t="s">
        <v>181</v>
      </c>
      <c r="B306" s="2">
        <v>45783</v>
      </c>
      <c r="C306" t="s">
        <v>182</v>
      </c>
      <c r="D306" t="s">
        <v>48</v>
      </c>
      <c r="E306" t="s">
        <v>35</v>
      </c>
      <c r="F306" t="s">
        <v>23</v>
      </c>
      <c r="G306">
        <v>4</v>
      </c>
      <c r="H306">
        <v>86.97</v>
      </c>
      <c r="I306">
        <v>0.2</v>
      </c>
      <c r="J306">
        <v>278.3</v>
      </c>
      <c r="K306">
        <v>194.19</v>
      </c>
      <c r="L306">
        <v>84.11</v>
      </c>
      <c r="M306" t="s">
        <v>31</v>
      </c>
      <c r="N306" t="str">
        <f t="shared" si="9"/>
        <v>OK</v>
      </c>
      <c r="O306" s="7" t="str">
        <f t="shared" si="10"/>
        <v>OK</v>
      </c>
    </row>
    <row r="307" spans="1:15">
      <c r="A307" t="s">
        <v>617</v>
      </c>
      <c r="B307" s="2">
        <v>46015</v>
      </c>
      <c r="C307" t="s">
        <v>618</v>
      </c>
      <c r="D307" t="s">
        <v>41</v>
      </c>
      <c r="E307" t="s">
        <v>42</v>
      </c>
      <c r="F307" t="s">
        <v>17</v>
      </c>
      <c r="G307">
        <v>3</v>
      </c>
      <c r="H307">
        <v>92.88</v>
      </c>
      <c r="I307">
        <v>0</v>
      </c>
      <c r="J307">
        <v>278.64</v>
      </c>
      <c r="K307">
        <v>219.02</v>
      </c>
      <c r="L307">
        <v>59.62</v>
      </c>
      <c r="M307" t="s">
        <v>18</v>
      </c>
      <c r="N307" t="str">
        <f t="shared" si="9"/>
        <v>OK</v>
      </c>
      <c r="O307" s="7" t="str">
        <f t="shared" si="10"/>
        <v>OK</v>
      </c>
    </row>
    <row r="308" spans="1:15">
      <c r="A308" t="s">
        <v>251</v>
      </c>
      <c r="B308" s="2">
        <v>45872</v>
      </c>
      <c r="C308" t="s">
        <v>138</v>
      </c>
      <c r="D308" t="s">
        <v>15</v>
      </c>
      <c r="E308" t="s">
        <v>16</v>
      </c>
      <c r="F308" t="s">
        <v>23</v>
      </c>
      <c r="G308">
        <v>2</v>
      </c>
      <c r="H308">
        <v>139.34</v>
      </c>
      <c r="I308">
        <v>0</v>
      </c>
      <c r="J308">
        <v>278.68</v>
      </c>
      <c r="K308">
        <v>225.88</v>
      </c>
      <c r="L308">
        <v>52.8</v>
      </c>
      <c r="M308" t="s">
        <v>18</v>
      </c>
      <c r="N308" t="str">
        <f t="shared" si="9"/>
        <v>OK</v>
      </c>
      <c r="O308" s="7" t="str">
        <f t="shared" si="10"/>
        <v>OK</v>
      </c>
    </row>
    <row r="309" spans="1:15">
      <c r="A309" t="s">
        <v>341</v>
      </c>
      <c r="B309" s="2">
        <v>45921</v>
      </c>
      <c r="C309" t="s">
        <v>342</v>
      </c>
      <c r="D309" t="s">
        <v>77</v>
      </c>
      <c r="E309" t="s">
        <v>22</v>
      </c>
      <c r="F309" t="s">
        <v>23</v>
      </c>
      <c r="G309">
        <v>5</v>
      </c>
      <c r="H309">
        <v>65.959999999999994</v>
      </c>
      <c r="I309">
        <v>0.15</v>
      </c>
      <c r="J309">
        <v>280.33</v>
      </c>
      <c r="K309">
        <v>190.42</v>
      </c>
      <c r="L309">
        <v>89.91</v>
      </c>
      <c r="M309" t="s">
        <v>24</v>
      </c>
      <c r="N309" t="str">
        <f t="shared" si="9"/>
        <v>OK</v>
      </c>
      <c r="O309" s="7" t="str">
        <f t="shared" si="10"/>
        <v>OK</v>
      </c>
    </row>
    <row r="310" spans="1:15">
      <c r="A310" t="s">
        <v>498</v>
      </c>
      <c r="B310" s="2">
        <v>45896</v>
      </c>
      <c r="C310" t="s">
        <v>472</v>
      </c>
      <c r="D310" t="s">
        <v>41</v>
      </c>
      <c r="E310" t="s">
        <v>42</v>
      </c>
      <c r="F310" t="s">
        <v>23</v>
      </c>
      <c r="G310">
        <v>4</v>
      </c>
      <c r="H310">
        <v>74.02</v>
      </c>
      <c r="I310">
        <v>0.05</v>
      </c>
      <c r="J310">
        <v>281.27999999999997</v>
      </c>
      <c r="K310">
        <v>185.85</v>
      </c>
      <c r="L310">
        <v>95.43</v>
      </c>
      <c r="M310" t="s">
        <v>18</v>
      </c>
      <c r="N310" t="str">
        <f t="shared" si="9"/>
        <v>OK</v>
      </c>
      <c r="O310" s="7" t="str">
        <f t="shared" si="10"/>
        <v>OK</v>
      </c>
    </row>
    <row r="311" spans="1:15">
      <c r="A311" t="s">
        <v>487</v>
      </c>
      <c r="B311" s="2">
        <v>45733</v>
      </c>
      <c r="C311" t="s">
        <v>444</v>
      </c>
      <c r="D311" t="s">
        <v>88</v>
      </c>
      <c r="E311" t="s">
        <v>16</v>
      </c>
      <c r="F311" t="s">
        <v>17</v>
      </c>
      <c r="G311">
        <v>2</v>
      </c>
      <c r="H311">
        <v>159.18</v>
      </c>
      <c r="I311">
        <v>0.1</v>
      </c>
      <c r="J311">
        <v>286.52</v>
      </c>
      <c r="K311">
        <v>202.06</v>
      </c>
      <c r="L311">
        <v>84.46</v>
      </c>
      <c r="M311" t="s">
        <v>24</v>
      </c>
      <c r="N311" t="str">
        <f t="shared" si="9"/>
        <v>OK</v>
      </c>
      <c r="O311" s="7" t="str">
        <f t="shared" si="10"/>
        <v>OK</v>
      </c>
    </row>
    <row r="312" spans="1:15">
      <c r="A312" t="s">
        <v>300</v>
      </c>
      <c r="B312" s="2">
        <v>45703</v>
      </c>
      <c r="C312" t="s">
        <v>218</v>
      </c>
      <c r="D312" t="s">
        <v>61</v>
      </c>
      <c r="E312" t="s">
        <v>42</v>
      </c>
      <c r="F312" t="s">
        <v>30</v>
      </c>
      <c r="G312">
        <v>2</v>
      </c>
      <c r="H312">
        <v>151.13</v>
      </c>
      <c r="I312">
        <v>0.05</v>
      </c>
      <c r="J312">
        <v>287.14999999999998</v>
      </c>
      <c r="K312">
        <v>158.47999999999999</v>
      </c>
      <c r="L312">
        <v>128.66999999999999</v>
      </c>
      <c r="M312" t="s">
        <v>31</v>
      </c>
      <c r="N312" t="str">
        <f t="shared" si="9"/>
        <v>OK</v>
      </c>
      <c r="O312" s="7" t="str">
        <f t="shared" si="10"/>
        <v>OK</v>
      </c>
    </row>
    <row r="313" spans="1:15">
      <c r="A313" t="s">
        <v>406</v>
      </c>
      <c r="B313" s="2">
        <v>45965</v>
      </c>
      <c r="C313" t="s">
        <v>159</v>
      </c>
      <c r="D313" t="s">
        <v>48</v>
      </c>
      <c r="E313" t="s">
        <v>35</v>
      </c>
      <c r="F313" t="s">
        <v>36</v>
      </c>
      <c r="G313">
        <v>4</v>
      </c>
      <c r="H313">
        <v>71.88</v>
      </c>
      <c r="I313">
        <v>0</v>
      </c>
      <c r="J313">
        <v>287.52</v>
      </c>
      <c r="K313">
        <v>213.87</v>
      </c>
      <c r="L313">
        <v>73.650000000000006</v>
      </c>
      <c r="M313" t="s">
        <v>31</v>
      </c>
      <c r="N313" t="str">
        <f t="shared" si="9"/>
        <v>OK</v>
      </c>
      <c r="O313" s="7" t="str">
        <f t="shared" si="10"/>
        <v>OK</v>
      </c>
    </row>
    <row r="314" spans="1:15">
      <c r="A314" t="s">
        <v>293</v>
      </c>
      <c r="B314" s="2">
        <v>45694</v>
      </c>
      <c r="C314" t="s">
        <v>294</v>
      </c>
      <c r="D314" t="s">
        <v>61</v>
      </c>
      <c r="E314" t="s">
        <v>42</v>
      </c>
      <c r="F314" t="s">
        <v>23</v>
      </c>
      <c r="G314">
        <v>4</v>
      </c>
      <c r="H314">
        <v>72.099999999999994</v>
      </c>
      <c r="I314">
        <v>0</v>
      </c>
      <c r="J314">
        <v>288.39999999999998</v>
      </c>
      <c r="K314">
        <v>221.21</v>
      </c>
      <c r="L314">
        <v>67.19</v>
      </c>
      <c r="M314" t="s">
        <v>18</v>
      </c>
      <c r="N314" t="str">
        <f t="shared" si="9"/>
        <v>OK</v>
      </c>
      <c r="O314" s="7" t="str">
        <f t="shared" si="10"/>
        <v>OK</v>
      </c>
    </row>
    <row r="315" spans="1:15">
      <c r="A315" t="s">
        <v>599</v>
      </c>
      <c r="B315" s="2">
        <v>45662</v>
      </c>
      <c r="C315" t="s">
        <v>600</v>
      </c>
      <c r="D315" t="s">
        <v>48</v>
      </c>
      <c r="E315" t="s">
        <v>35</v>
      </c>
      <c r="F315" t="s">
        <v>23</v>
      </c>
      <c r="G315">
        <v>5</v>
      </c>
      <c r="H315">
        <v>60.77</v>
      </c>
      <c r="I315">
        <v>0.05</v>
      </c>
      <c r="J315">
        <v>288.66000000000003</v>
      </c>
      <c r="K315">
        <v>212.57</v>
      </c>
      <c r="L315">
        <v>76.09</v>
      </c>
      <c r="M315" t="s">
        <v>18</v>
      </c>
      <c r="N315" t="str">
        <f t="shared" si="9"/>
        <v>OK</v>
      </c>
      <c r="O315" s="7" t="str">
        <f t="shared" si="10"/>
        <v>OK</v>
      </c>
    </row>
    <row r="316" spans="1:15">
      <c r="A316" t="s">
        <v>627</v>
      </c>
      <c r="B316" s="2">
        <v>45663</v>
      </c>
      <c r="C316" t="s">
        <v>164</v>
      </c>
      <c r="D316" t="s">
        <v>110</v>
      </c>
      <c r="E316" t="s">
        <v>35</v>
      </c>
      <c r="F316" t="s">
        <v>17</v>
      </c>
      <c r="G316">
        <v>2</v>
      </c>
      <c r="H316">
        <v>169.87</v>
      </c>
      <c r="I316">
        <v>0.15</v>
      </c>
      <c r="J316">
        <v>288.77999999999997</v>
      </c>
      <c r="K316">
        <v>167.71</v>
      </c>
      <c r="L316">
        <v>121.07</v>
      </c>
      <c r="M316" t="s">
        <v>18</v>
      </c>
      <c r="N316" t="str">
        <f t="shared" si="9"/>
        <v>OK</v>
      </c>
      <c r="O316" s="7" t="str">
        <f t="shared" si="10"/>
        <v>OK</v>
      </c>
    </row>
    <row r="317" spans="1:15">
      <c r="A317" t="s">
        <v>230</v>
      </c>
      <c r="B317" s="2">
        <v>45682</v>
      </c>
      <c r="C317" t="s">
        <v>85</v>
      </c>
      <c r="D317" t="s">
        <v>70</v>
      </c>
      <c r="E317" t="s">
        <v>35</v>
      </c>
      <c r="F317" t="s">
        <v>17</v>
      </c>
      <c r="G317">
        <v>2</v>
      </c>
      <c r="H317">
        <v>146.09</v>
      </c>
      <c r="I317">
        <v>0</v>
      </c>
      <c r="J317">
        <v>292.18</v>
      </c>
      <c r="K317">
        <v>189.93</v>
      </c>
      <c r="L317">
        <v>102.25</v>
      </c>
      <c r="M317" t="s">
        <v>24</v>
      </c>
      <c r="N317" t="str">
        <f t="shared" si="9"/>
        <v>OK</v>
      </c>
      <c r="O317" s="7" t="str">
        <f t="shared" si="10"/>
        <v>OK</v>
      </c>
    </row>
    <row r="318" spans="1:15">
      <c r="A318" t="s">
        <v>64</v>
      </c>
      <c r="B318" s="2">
        <v>45701</v>
      </c>
      <c r="C318" t="s">
        <v>65</v>
      </c>
      <c r="D318" t="s">
        <v>41</v>
      </c>
      <c r="E318" t="s">
        <v>42</v>
      </c>
      <c r="F318" t="s">
        <v>36</v>
      </c>
      <c r="G318">
        <v>5</v>
      </c>
      <c r="H318">
        <v>58.85</v>
      </c>
      <c r="I318">
        <v>0</v>
      </c>
      <c r="J318">
        <v>294.25</v>
      </c>
      <c r="K318">
        <v>202.14</v>
      </c>
      <c r="L318">
        <v>92.11</v>
      </c>
      <c r="M318" t="s">
        <v>24</v>
      </c>
      <c r="N318" t="str">
        <f t="shared" si="9"/>
        <v>OK</v>
      </c>
      <c r="O318" s="7" t="str">
        <f t="shared" si="10"/>
        <v>OK</v>
      </c>
    </row>
    <row r="319" spans="1:15">
      <c r="A319" t="s">
        <v>705</v>
      </c>
      <c r="B319" s="2">
        <v>45980</v>
      </c>
      <c r="C319" t="s">
        <v>527</v>
      </c>
      <c r="D319" t="s">
        <v>61</v>
      </c>
      <c r="E319" t="s">
        <v>42</v>
      </c>
      <c r="F319" t="s">
        <v>30</v>
      </c>
      <c r="G319">
        <v>2</v>
      </c>
      <c r="H319">
        <v>163.62</v>
      </c>
      <c r="I319">
        <v>0.1</v>
      </c>
      <c r="J319">
        <v>294.52</v>
      </c>
      <c r="K319">
        <v>186.11</v>
      </c>
      <c r="L319">
        <v>108.41</v>
      </c>
      <c r="M319" t="s">
        <v>18</v>
      </c>
      <c r="N319" t="str">
        <f t="shared" si="9"/>
        <v>OK</v>
      </c>
      <c r="O319" s="7" t="str">
        <f t="shared" si="10"/>
        <v>OK</v>
      </c>
    </row>
    <row r="320" spans="1:15">
      <c r="A320" t="s">
        <v>478</v>
      </c>
      <c r="B320" s="2">
        <v>45741</v>
      </c>
      <c r="C320" t="s">
        <v>135</v>
      </c>
      <c r="D320" t="s">
        <v>41</v>
      </c>
      <c r="E320" t="s">
        <v>42</v>
      </c>
      <c r="F320" t="s">
        <v>30</v>
      </c>
      <c r="G320">
        <v>4</v>
      </c>
      <c r="H320">
        <v>73.64</v>
      </c>
      <c r="I320">
        <v>0</v>
      </c>
      <c r="J320">
        <v>294.56</v>
      </c>
      <c r="K320">
        <v>198.48</v>
      </c>
      <c r="L320">
        <v>96.08</v>
      </c>
      <c r="M320" t="s">
        <v>18</v>
      </c>
      <c r="N320" t="str">
        <f t="shared" si="9"/>
        <v>OK</v>
      </c>
      <c r="O320" s="7" t="str">
        <f t="shared" si="10"/>
        <v>OK</v>
      </c>
    </row>
    <row r="321" spans="1:15">
      <c r="A321" t="s">
        <v>614</v>
      </c>
      <c r="B321" s="2">
        <v>45869</v>
      </c>
      <c r="C321" t="s">
        <v>208</v>
      </c>
      <c r="D321" t="s">
        <v>56</v>
      </c>
      <c r="E321" t="s">
        <v>16</v>
      </c>
      <c r="F321" t="s">
        <v>17</v>
      </c>
      <c r="G321">
        <v>3</v>
      </c>
      <c r="H321">
        <v>109.39</v>
      </c>
      <c r="I321">
        <v>0.1</v>
      </c>
      <c r="J321">
        <v>295.35000000000002</v>
      </c>
      <c r="K321">
        <v>218.94</v>
      </c>
      <c r="L321">
        <v>76.41</v>
      </c>
      <c r="M321" t="s">
        <v>18</v>
      </c>
      <c r="N321" t="str">
        <f t="shared" si="9"/>
        <v>OK</v>
      </c>
      <c r="O321" s="7" t="str">
        <f t="shared" si="10"/>
        <v>OK</v>
      </c>
    </row>
    <row r="322" spans="1:15">
      <c r="A322" t="s">
        <v>443</v>
      </c>
      <c r="B322" s="2">
        <v>45839</v>
      </c>
      <c r="C322" t="s">
        <v>444</v>
      </c>
      <c r="D322" t="s">
        <v>77</v>
      </c>
      <c r="E322" t="s">
        <v>22</v>
      </c>
      <c r="F322" t="s">
        <v>23</v>
      </c>
      <c r="G322">
        <v>2</v>
      </c>
      <c r="H322">
        <v>164.42</v>
      </c>
      <c r="I322">
        <v>0.1</v>
      </c>
      <c r="J322">
        <v>295.95999999999998</v>
      </c>
      <c r="K322">
        <v>163.4</v>
      </c>
      <c r="L322">
        <v>132.56</v>
      </c>
      <c r="M322" t="s">
        <v>18</v>
      </c>
      <c r="N322" t="str">
        <f t="shared" ref="N322:N385" si="11">IF(ABS(ROUND(G322*H322*(1-I322),2)-J322)&lt;=0.01,"OK","Mismatch")</f>
        <v>OK</v>
      </c>
      <c r="O322" s="7" t="str">
        <f t="shared" ref="O322:O385" si="12">IF(ROUND(J322-K322,2)=ROUND(L322,2),"OK","Mismatch")</f>
        <v>OK</v>
      </c>
    </row>
    <row r="323" spans="1:15">
      <c r="A323" t="s">
        <v>594</v>
      </c>
      <c r="B323" s="2">
        <v>45946</v>
      </c>
      <c r="C323" t="s">
        <v>40</v>
      </c>
      <c r="D323" t="s">
        <v>29</v>
      </c>
      <c r="E323" t="s">
        <v>22</v>
      </c>
      <c r="F323" t="s">
        <v>36</v>
      </c>
      <c r="G323">
        <v>4</v>
      </c>
      <c r="H323">
        <v>74.11</v>
      </c>
      <c r="I323">
        <v>0</v>
      </c>
      <c r="J323">
        <v>296.44</v>
      </c>
      <c r="K323">
        <v>237.66</v>
      </c>
      <c r="L323">
        <v>58.78</v>
      </c>
      <c r="M323" t="s">
        <v>18</v>
      </c>
      <c r="N323" t="str">
        <f t="shared" si="11"/>
        <v>OK</v>
      </c>
      <c r="O323" s="7" t="str">
        <f t="shared" si="12"/>
        <v>OK</v>
      </c>
    </row>
    <row r="324" spans="1:15">
      <c r="A324" t="s">
        <v>404</v>
      </c>
      <c r="B324" s="2">
        <v>45903</v>
      </c>
      <c r="C324" t="s">
        <v>202</v>
      </c>
      <c r="D324" t="s">
        <v>41</v>
      </c>
      <c r="E324" t="s">
        <v>42</v>
      </c>
      <c r="F324" t="s">
        <v>30</v>
      </c>
      <c r="G324">
        <v>5</v>
      </c>
      <c r="H324">
        <v>74.58</v>
      </c>
      <c r="I324">
        <v>0.2</v>
      </c>
      <c r="J324">
        <v>298.32</v>
      </c>
      <c r="K324">
        <v>186.32</v>
      </c>
      <c r="L324">
        <v>112</v>
      </c>
      <c r="M324" t="s">
        <v>18</v>
      </c>
      <c r="N324" t="str">
        <f t="shared" si="11"/>
        <v>OK</v>
      </c>
      <c r="O324" s="7" t="str">
        <f t="shared" si="12"/>
        <v>OK</v>
      </c>
    </row>
    <row r="325" spans="1:15">
      <c r="A325" t="s">
        <v>193</v>
      </c>
      <c r="B325" s="2">
        <v>45672</v>
      </c>
      <c r="C325" t="s">
        <v>194</v>
      </c>
      <c r="D325" t="s">
        <v>139</v>
      </c>
      <c r="E325" t="s">
        <v>16</v>
      </c>
      <c r="F325" t="s">
        <v>30</v>
      </c>
      <c r="G325">
        <v>3</v>
      </c>
      <c r="H325">
        <v>99.52</v>
      </c>
      <c r="I325">
        <v>0</v>
      </c>
      <c r="J325">
        <v>298.56</v>
      </c>
      <c r="K325">
        <v>204.28</v>
      </c>
      <c r="L325">
        <v>94.28</v>
      </c>
      <c r="M325" t="s">
        <v>18</v>
      </c>
      <c r="N325" t="str">
        <f t="shared" si="11"/>
        <v>OK</v>
      </c>
      <c r="O325" s="7" t="str">
        <f t="shared" si="12"/>
        <v>OK</v>
      </c>
    </row>
    <row r="326" spans="1:15">
      <c r="A326" t="s">
        <v>322</v>
      </c>
      <c r="B326" s="2">
        <v>45974</v>
      </c>
      <c r="C326" t="s">
        <v>50</v>
      </c>
      <c r="D326" t="s">
        <v>41</v>
      </c>
      <c r="E326" t="s">
        <v>42</v>
      </c>
      <c r="F326" t="s">
        <v>36</v>
      </c>
      <c r="G326">
        <v>2</v>
      </c>
      <c r="H326">
        <v>149.29</v>
      </c>
      <c r="I326">
        <v>0</v>
      </c>
      <c r="J326">
        <v>298.58</v>
      </c>
      <c r="K326">
        <v>224.27</v>
      </c>
      <c r="L326">
        <v>74.31</v>
      </c>
      <c r="M326" t="s">
        <v>18</v>
      </c>
      <c r="N326" t="str">
        <f t="shared" si="11"/>
        <v>OK</v>
      </c>
      <c r="O326" s="7" t="str">
        <f t="shared" si="12"/>
        <v>OK</v>
      </c>
    </row>
    <row r="327" spans="1:15">
      <c r="A327" t="s">
        <v>646</v>
      </c>
      <c r="B327" s="2">
        <v>45934</v>
      </c>
      <c r="C327" t="s">
        <v>647</v>
      </c>
      <c r="D327" t="s">
        <v>21</v>
      </c>
      <c r="E327" t="s">
        <v>22</v>
      </c>
      <c r="F327" t="s">
        <v>36</v>
      </c>
      <c r="G327">
        <v>4</v>
      </c>
      <c r="H327">
        <v>75.209999999999994</v>
      </c>
      <c r="I327">
        <v>0</v>
      </c>
      <c r="J327">
        <v>300.83999999999997</v>
      </c>
      <c r="K327">
        <v>188.77</v>
      </c>
      <c r="L327">
        <v>112.07</v>
      </c>
      <c r="M327" t="s">
        <v>18</v>
      </c>
      <c r="N327" t="str">
        <f t="shared" si="11"/>
        <v>OK</v>
      </c>
      <c r="O327" s="7" t="str">
        <f t="shared" si="12"/>
        <v>OK</v>
      </c>
    </row>
    <row r="328" spans="1:15">
      <c r="A328" t="s">
        <v>75</v>
      </c>
      <c r="B328" s="2">
        <v>45829</v>
      </c>
      <c r="C328" t="s">
        <v>76</v>
      </c>
      <c r="D328" t="s">
        <v>77</v>
      </c>
      <c r="E328" t="s">
        <v>22</v>
      </c>
      <c r="F328" t="s">
        <v>36</v>
      </c>
      <c r="G328">
        <v>5</v>
      </c>
      <c r="H328">
        <v>67.349999999999994</v>
      </c>
      <c r="I328">
        <v>0.1</v>
      </c>
      <c r="J328">
        <v>303.08</v>
      </c>
      <c r="K328">
        <v>228.59</v>
      </c>
      <c r="L328">
        <v>74.489999999999995</v>
      </c>
      <c r="M328" t="s">
        <v>31</v>
      </c>
      <c r="N328" t="str">
        <f t="shared" si="11"/>
        <v>OK</v>
      </c>
      <c r="O328" s="7" t="str">
        <f t="shared" si="12"/>
        <v>OK</v>
      </c>
    </row>
    <row r="329" spans="1:15">
      <c r="A329" t="s">
        <v>103</v>
      </c>
      <c r="B329" s="2">
        <v>45945</v>
      </c>
      <c r="C329" t="s">
        <v>104</v>
      </c>
      <c r="D329" t="s">
        <v>105</v>
      </c>
      <c r="E329" t="s">
        <v>42</v>
      </c>
      <c r="G329">
        <v>2</v>
      </c>
      <c r="H329">
        <v>169.02</v>
      </c>
      <c r="I329">
        <v>0.1</v>
      </c>
      <c r="J329">
        <v>304.24</v>
      </c>
      <c r="K329">
        <v>219.36</v>
      </c>
      <c r="L329">
        <v>84.88</v>
      </c>
      <c r="M329" t="s">
        <v>18</v>
      </c>
      <c r="N329" t="str">
        <f t="shared" si="11"/>
        <v>OK</v>
      </c>
      <c r="O329" s="7" t="str">
        <f t="shared" si="12"/>
        <v>OK</v>
      </c>
    </row>
    <row r="330" spans="1:15">
      <c r="A330" t="s">
        <v>148</v>
      </c>
      <c r="B330" s="2">
        <v>45958</v>
      </c>
      <c r="C330" t="s">
        <v>60</v>
      </c>
      <c r="D330" t="s">
        <v>29</v>
      </c>
      <c r="E330" t="s">
        <v>22</v>
      </c>
      <c r="F330" t="s">
        <v>23</v>
      </c>
      <c r="G330">
        <v>5</v>
      </c>
      <c r="H330">
        <v>71.75</v>
      </c>
      <c r="I330">
        <v>0.15</v>
      </c>
      <c r="J330">
        <v>304.94</v>
      </c>
      <c r="K330">
        <v>254.37</v>
      </c>
      <c r="L330">
        <v>50.57</v>
      </c>
      <c r="M330" t="s">
        <v>18</v>
      </c>
      <c r="N330" t="str">
        <f t="shared" si="11"/>
        <v>OK</v>
      </c>
      <c r="O330" s="7" t="str">
        <f t="shared" si="12"/>
        <v>OK</v>
      </c>
    </row>
    <row r="331" spans="1:15">
      <c r="A331" t="s">
        <v>310</v>
      </c>
      <c r="B331" s="2">
        <v>45715</v>
      </c>
      <c r="C331" t="s">
        <v>242</v>
      </c>
      <c r="D331" t="s">
        <v>34</v>
      </c>
      <c r="E331" t="s">
        <v>35</v>
      </c>
      <c r="F331" t="s">
        <v>36</v>
      </c>
      <c r="G331">
        <v>4</v>
      </c>
      <c r="H331">
        <v>76.39</v>
      </c>
      <c r="I331">
        <v>0</v>
      </c>
      <c r="J331">
        <v>305.56</v>
      </c>
      <c r="K331">
        <v>258.26</v>
      </c>
      <c r="L331">
        <v>47.3</v>
      </c>
      <c r="M331" t="s">
        <v>18</v>
      </c>
      <c r="N331" t="str">
        <f t="shared" si="11"/>
        <v>OK</v>
      </c>
      <c r="O331" s="7" t="str">
        <f t="shared" si="12"/>
        <v>OK</v>
      </c>
    </row>
    <row r="332" spans="1:15">
      <c r="A332" t="s">
        <v>580</v>
      </c>
      <c r="B332" s="2">
        <v>45804</v>
      </c>
      <c r="C332" t="s">
        <v>581</v>
      </c>
      <c r="D332" t="s">
        <v>61</v>
      </c>
      <c r="E332" t="s">
        <v>42</v>
      </c>
      <c r="F332" t="s">
        <v>17</v>
      </c>
      <c r="G332">
        <v>2</v>
      </c>
      <c r="H332">
        <v>160.88999999999999</v>
      </c>
      <c r="I332">
        <v>0.05</v>
      </c>
      <c r="J332">
        <v>305.69</v>
      </c>
      <c r="K332">
        <v>186.88</v>
      </c>
      <c r="L332">
        <v>118.81</v>
      </c>
      <c r="M332" t="s">
        <v>18</v>
      </c>
      <c r="N332" t="str">
        <f t="shared" si="11"/>
        <v>OK</v>
      </c>
      <c r="O332" s="7" t="str">
        <f t="shared" si="12"/>
        <v>OK</v>
      </c>
    </row>
    <row r="333" spans="1:15">
      <c r="A333" t="s">
        <v>506</v>
      </c>
      <c r="B333" s="2">
        <v>45824</v>
      </c>
      <c r="C333" t="s">
        <v>172</v>
      </c>
      <c r="D333" t="s">
        <v>34</v>
      </c>
      <c r="E333" t="s">
        <v>35</v>
      </c>
      <c r="F333" t="s">
        <v>23</v>
      </c>
      <c r="G333">
        <v>3</v>
      </c>
      <c r="H333">
        <v>108.14</v>
      </c>
      <c r="I333">
        <v>0.05</v>
      </c>
      <c r="J333">
        <v>308.2</v>
      </c>
      <c r="K333">
        <v>225.09</v>
      </c>
      <c r="L333">
        <v>83.11</v>
      </c>
      <c r="M333" t="s">
        <v>24</v>
      </c>
      <c r="N333" t="str">
        <f t="shared" si="11"/>
        <v>OK</v>
      </c>
      <c r="O333" s="7" t="str">
        <f t="shared" si="12"/>
        <v>OK</v>
      </c>
    </row>
    <row r="334" spans="1:15">
      <c r="A334" t="s">
        <v>666</v>
      </c>
      <c r="B334" s="2">
        <v>45841</v>
      </c>
      <c r="C334" t="s">
        <v>85</v>
      </c>
      <c r="D334" t="s">
        <v>139</v>
      </c>
      <c r="E334" t="s">
        <v>16</v>
      </c>
      <c r="F334" t="s">
        <v>36</v>
      </c>
      <c r="G334">
        <v>4</v>
      </c>
      <c r="H334">
        <v>86.24</v>
      </c>
      <c r="I334">
        <v>0.1</v>
      </c>
      <c r="J334">
        <v>310.45999999999998</v>
      </c>
      <c r="K334">
        <v>255.53</v>
      </c>
      <c r="L334">
        <v>54.93</v>
      </c>
      <c r="M334" t="s">
        <v>24</v>
      </c>
      <c r="N334" t="str">
        <f t="shared" si="11"/>
        <v>OK</v>
      </c>
      <c r="O334" s="7" t="str">
        <f t="shared" si="12"/>
        <v>OK</v>
      </c>
    </row>
    <row r="335" spans="1:15">
      <c r="A335" t="s">
        <v>392</v>
      </c>
      <c r="B335" s="2">
        <v>45938</v>
      </c>
      <c r="C335" t="s">
        <v>174</v>
      </c>
      <c r="D335" t="s">
        <v>53</v>
      </c>
      <c r="E335" t="s">
        <v>42</v>
      </c>
      <c r="F335" t="s">
        <v>30</v>
      </c>
      <c r="G335">
        <v>2</v>
      </c>
      <c r="H335">
        <v>172.66</v>
      </c>
      <c r="I335">
        <v>0.1</v>
      </c>
      <c r="J335">
        <v>310.79000000000002</v>
      </c>
      <c r="K335">
        <v>257.89999999999998</v>
      </c>
      <c r="L335">
        <v>52.89</v>
      </c>
      <c r="M335" t="s">
        <v>393</v>
      </c>
      <c r="N335" t="str">
        <f t="shared" si="11"/>
        <v>OK</v>
      </c>
      <c r="O335" s="7" t="str">
        <f t="shared" si="12"/>
        <v>OK</v>
      </c>
    </row>
    <row r="336" spans="1:15">
      <c r="A336" t="s">
        <v>113</v>
      </c>
      <c r="B336" s="2">
        <v>45758</v>
      </c>
      <c r="C336" t="s">
        <v>114</v>
      </c>
      <c r="D336" t="s">
        <v>110</v>
      </c>
      <c r="E336" t="s">
        <v>35</v>
      </c>
      <c r="F336" t="s">
        <v>30</v>
      </c>
      <c r="G336">
        <v>2</v>
      </c>
      <c r="H336">
        <v>155.99</v>
      </c>
      <c r="I336">
        <v>0</v>
      </c>
      <c r="J336">
        <v>311.98</v>
      </c>
      <c r="K336">
        <v>175.22</v>
      </c>
      <c r="L336">
        <v>136.76</v>
      </c>
      <c r="M336" t="s">
        <v>18</v>
      </c>
      <c r="N336" t="str">
        <f t="shared" si="11"/>
        <v>OK</v>
      </c>
      <c r="O336" s="7" t="str">
        <f t="shared" si="12"/>
        <v>OK</v>
      </c>
    </row>
    <row r="337" spans="1:15">
      <c r="A337" t="s">
        <v>399</v>
      </c>
      <c r="B337" s="2">
        <v>45835</v>
      </c>
      <c r="C337" t="s">
        <v>400</v>
      </c>
      <c r="D337" t="s">
        <v>139</v>
      </c>
      <c r="E337" t="s">
        <v>16</v>
      </c>
      <c r="F337" t="s">
        <v>23</v>
      </c>
      <c r="G337">
        <v>3</v>
      </c>
      <c r="H337">
        <v>105.08</v>
      </c>
      <c r="I337">
        <v>0</v>
      </c>
      <c r="J337">
        <v>315.24</v>
      </c>
      <c r="K337">
        <v>193.41</v>
      </c>
      <c r="L337">
        <v>121.83</v>
      </c>
      <c r="M337" t="s">
        <v>18</v>
      </c>
      <c r="N337" t="str">
        <f t="shared" si="11"/>
        <v>OK</v>
      </c>
      <c r="O337" s="7" t="str">
        <f t="shared" si="12"/>
        <v>OK</v>
      </c>
    </row>
    <row r="338" spans="1:15">
      <c r="A338" t="s">
        <v>501</v>
      </c>
      <c r="B338" s="2">
        <v>45696</v>
      </c>
      <c r="C338" t="s">
        <v>480</v>
      </c>
      <c r="D338" t="s">
        <v>53</v>
      </c>
      <c r="E338" t="s">
        <v>42</v>
      </c>
      <c r="F338" t="s">
        <v>17</v>
      </c>
      <c r="G338">
        <v>3</v>
      </c>
      <c r="H338">
        <v>110.98</v>
      </c>
      <c r="I338">
        <v>0.05</v>
      </c>
      <c r="J338">
        <v>316.29000000000002</v>
      </c>
      <c r="K338">
        <v>187.14</v>
      </c>
      <c r="L338">
        <v>129.15</v>
      </c>
      <c r="M338" t="s">
        <v>18</v>
      </c>
      <c r="N338" t="str">
        <f t="shared" si="11"/>
        <v>OK</v>
      </c>
      <c r="O338" s="7" t="str">
        <f t="shared" si="12"/>
        <v>OK</v>
      </c>
    </row>
    <row r="339" spans="1:15">
      <c r="A339" t="s">
        <v>636</v>
      </c>
      <c r="B339" s="2">
        <v>45760</v>
      </c>
      <c r="C339" t="s">
        <v>33</v>
      </c>
      <c r="D339" t="s">
        <v>105</v>
      </c>
      <c r="E339" t="s">
        <v>42</v>
      </c>
      <c r="F339" t="s">
        <v>30</v>
      </c>
      <c r="G339">
        <v>5</v>
      </c>
      <c r="H339">
        <v>75.400000000000006</v>
      </c>
      <c r="I339">
        <v>0.15</v>
      </c>
      <c r="J339">
        <v>320.45</v>
      </c>
      <c r="K339">
        <v>195.89</v>
      </c>
      <c r="L339">
        <v>124.56</v>
      </c>
      <c r="M339" t="s">
        <v>18</v>
      </c>
      <c r="N339" t="str">
        <f t="shared" si="11"/>
        <v>OK</v>
      </c>
      <c r="O339" s="7" t="str">
        <f t="shared" si="12"/>
        <v>OK</v>
      </c>
    </row>
    <row r="340" spans="1:15">
      <c r="A340" t="s">
        <v>364</v>
      </c>
      <c r="B340" s="2">
        <v>45734</v>
      </c>
      <c r="C340" t="s">
        <v>60</v>
      </c>
      <c r="D340" t="s">
        <v>15</v>
      </c>
      <c r="E340" t="s">
        <v>16</v>
      </c>
      <c r="F340" t="s">
        <v>36</v>
      </c>
      <c r="G340">
        <v>3</v>
      </c>
      <c r="H340">
        <v>107.92</v>
      </c>
      <c r="I340">
        <v>0</v>
      </c>
      <c r="J340">
        <v>323.76</v>
      </c>
      <c r="K340">
        <v>247.77</v>
      </c>
      <c r="L340">
        <v>75.989999999999995</v>
      </c>
      <c r="M340" t="s">
        <v>18</v>
      </c>
      <c r="N340" t="str">
        <f t="shared" si="11"/>
        <v>OK</v>
      </c>
      <c r="O340" s="7" t="str">
        <f t="shared" si="12"/>
        <v>OK</v>
      </c>
    </row>
    <row r="341" spans="1:15">
      <c r="A341" t="s">
        <v>643</v>
      </c>
      <c r="B341" s="2">
        <v>45719</v>
      </c>
      <c r="C341" t="s">
        <v>98</v>
      </c>
      <c r="D341" t="s">
        <v>29</v>
      </c>
      <c r="E341" t="s">
        <v>22</v>
      </c>
      <c r="F341" t="s">
        <v>30</v>
      </c>
      <c r="G341">
        <v>3</v>
      </c>
      <c r="H341">
        <v>120.96</v>
      </c>
      <c r="I341">
        <v>0.1</v>
      </c>
      <c r="J341">
        <v>326.58999999999997</v>
      </c>
      <c r="K341">
        <v>180.44</v>
      </c>
      <c r="L341">
        <v>146.15</v>
      </c>
      <c r="M341" t="s">
        <v>18</v>
      </c>
      <c r="N341" t="str">
        <f t="shared" si="11"/>
        <v>OK</v>
      </c>
      <c r="O341" s="7" t="str">
        <f t="shared" si="12"/>
        <v>OK</v>
      </c>
    </row>
    <row r="342" spans="1:15">
      <c r="A342" t="s">
        <v>491</v>
      </c>
      <c r="B342" s="2">
        <v>45750</v>
      </c>
      <c r="C342" t="s">
        <v>164</v>
      </c>
      <c r="D342" t="s">
        <v>77</v>
      </c>
      <c r="E342" t="s">
        <v>22</v>
      </c>
      <c r="F342" t="s">
        <v>30</v>
      </c>
      <c r="G342">
        <v>2</v>
      </c>
      <c r="H342">
        <v>164.07</v>
      </c>
      <c r="I342">
        <v>0</v>
      </c>
      <c r="J342">
        <v>328.14</v>
      </c>
      <c r="K342">
        <v>226.71</v>
      </c>
      <c r="L342">
        <v>101.43</v>
      </c>
      <c r="M342" t="s">
        <v>18</v>
      </c>
      <c r="N342" t="str">
        <f t="shared" si="11"/>
        <v>OK</v>
      </c>
      <c r="O342" s="7" t="str">
        <f t="shared" si="12"/>
        <v>OK</v>
      </c>
    </row>
    <row r="343" spans="1:15">
      <c r="A343" t="s">
        <v>370</v>
      </c>
      <c r="B343" s="2">
        <v>45765</v>
      </c>
      <c r="C343" t="s">
        <v>371</v>
      </c>
      <c r="D343" t="s">
        <v>110</v>
      </c>
      <c r="E343" t="s">
        <v>35</v>
      </c>
      <c r="F343" t="s">
        <v>17</v>
      </c>
      <c r="G343">
        <v>3</v>
      </c>
      <c r="H343">
        <v>115.3</v>
      </c>
      <c r="I343">
        <v>0.05</v>
      </c>
      <c r="J343">
        <v>328.6</v>
      </c>
      <c r="K343">
        <v>238.56</v>
      </c>
      <c r="L343">
        <v>90.04</v>
      </c>
      <c r="M343" t="s">
        <v>18</v>
      </c>
      <c r="N343" t="str">
        <f t="shared" si="11"/>
        <v>OK</v>
      </c>
      <c r="O343" s="7" t="str">
        <f t="shared" si="12"/>
        <v>OK</v>
      </c>
    </row>
    <row r="344" spans="1:15">
      <c r="A344" t="s">
        <v>215</v>
      </c>
      <c r="B344" s="2">
        <v>45810</v>
      </c>
      <c r="C344" t="s">
        <v>180</v>
      </c>
      <c r="D344" t="s">
        <v>29</v>
      </c>
      <c r="E344" t="s">
        <v>22</v>
      </c>
      <c r="F344" t="s">
        <v>30</v>
      </c>
      <c r="G344">
        <v>3</v>
      </c>
      <c r="H344">
        <v>115.35</v>
      </c>
      <c r="I344">
        <v>0.05</v>
      </c>
      <c r="J344">
        <v>328.75</v>
      </c>
      <c r="K344">
        <v>224.08</v>
      </c>
      <c r="L344">
        <v>104.67</v>
      </c>
      <c r="M344" t="s">
        <v>18</v>
      </c>
      <c r="N344" t="str">
        <f t="shared" si="11"/>
        <v>OK</v>
      </c>
      <c r="O344" s="7" t="str">
        <f t="shared" si="12"/>
        <v>OK</v>
      </c>
    </row>
    <row r="345" spans="1:15">
      <c r="A345" t="s">
        <v>606</v>
      </c>
      <c r="B345" s="2">
        <v>45698</v>
      </c>
      <c r="C345" t="s">
        <v>607</v>
      </c>
      <c r="D345" t="s">
        <v>41</v>
      </c>
      <c r="E345" t="s">
        <v>42</v>
      </c>
      <c r="F345" t="s">
        <v>23</v>
      </c>
      <c r="G345">
        <v>3</v>
      </c>
      <c r="H345">
        <v>110.4</v>
      </c>
      <c r="I345">
        <v>0</v>
      </c>
      <c r="J345">
        <v>331.2</v>
      </c>
      <c r="K345">
        <v>274.12</v>
      </c>
      <c r="L345">
        <v>57.08</v>
      </c>
      <c r="M345" t="s">
        <v>24</v>
      </c>
      <c r="N345" t="str">
        <f t="shared" si="11"/>
        <v>OK</v>
      </c>
      <c r="O345" s="7" t="str">
        <f t="shared" si="12"/>
        <v>OK</v>
      </c>
    </row>
    <row r="346" spans="1:15">
      <c r="A346" t="s">
        <v>468</v>
      </c>
      <c r="B346" s="2">
        <v>46021</v>
      </c>
      <c r="C346" t="s">
        <v>314</v>
      </c>
      <c r="D346" t="s">
        <v>41</v>
      </c>
      <c r="E346" t="s">
        <v>42</v>
      </c>
      <c r="F346" t="s">
        <v>23</v>
      </c>
      <c r="G346">
        <v>3</v>
      </c>
      <c r="H346">
        <v>138.65</v>
      </c>
      <c r="I346">
        <v>0.2</v>
      </c>
      <c r="J346">
        <v>332.76</v>
      </c>
      <c r="K346">
        <v>272.99</v>
      </c>
      <c r="L346">
        <v>59.77</v>
      </c>
      <c r="M346" t="s">
        <v>24</v>
      </c>
      <c r="N346" t="str">
        <f t="shared" si="11"/>
        <v>OK</v>
      </c>
      <c r="O346" s="7" t="str">
        <f t="shared" si="12"/>
        <v>OK</v>
      </c>
    </row>
    <row r="347" spans="1:15">
      <c r="A347" t="s">
        <v>622</v>
      </c>
      <c r="B347" s="2">
        <v>46020</v>
      </c>
      <c r="C347" t="s">
        <v>174</v>
      </c>
      <c r="D347" t="s">
        <v>61</v>
      </c>
      <c r="E347" t="s">
        <v>42</v>
      </c>
      <c r="F347" t="s">
        <v>23</v>
      </c>
      <c r="G347">
        <v>3</v>
      </c>
      <c r="H347">
        <v>111</v>
      </c>
      <c r="I347">
        <v>0</v>
      </c>
      <c r="J347">
        <v>333</v>
      </c>
      <c r="K347">
        <v>242.11</v>
      </c>
      <c r="L347">
        <v>90.89</v>
      </c>
      <c r="M347" t="s">
        <v>31</v>
      </c>
      <c r="N347" t="str">
        <f t="shared" si="11"/>
        <v>OK</v>
      </c>
      <c r="O347" s="7" t="str">
        <f t="shared" si="12"/>
        <v>OK</v>
      </c>
    </row>
    <row r="348" spans="1:15">
      <c r="A348" t="s">
        <v>160</v>
      </c>
      <c r="B348" s="2">
        <v>46014</v>
      </c>
      <c r="C348" t="s">
        <v>161</v>
      </c>
      <c r="D348" t="s">
        <v>61</v>
      </c>
      <c r="E348" t="s">
        <v>42</v>
      </c>
      <c r="F348" t="s">
        <v>23</v>
      </c>
      <c r="G348">
        <v>4</v>
      </c>
      <c r="H348">
        <v>87.76</v>
      </c>
      <c r="I348">
        <v>0.05</v>
      </c>
      <c r="J348">
        <v>333.49</v>
      </c>
      <c r="K348">
        <v>241.81</v>
      </c>
      <c r="L348">
        <v>91.68</v>
      </c>
      <c r="M348" t="s">
        <v>24</v>
      </c>
      <c r="N348" t="str">
        <f t="shared" si="11"/>
        <v>OK</v>
      </c>
      <c r="O348" s="7" t="str">
        <f t="shared" si="12"/>
        <v>OK</v>
      </c>
    </row>
    <row r="349" spans="1:15">
      <c r="A349" t="s">
        <v>129</v>
      </c>
      <c r="B349" s="2">
        <v>45925</v>
      </c>
      <c r="C349" t="s">
        <v>102</v>
      </c>
      <c r="D349" t="s">
        <v>77</v>
      </c>
      <c r="E349" t="s">
        <v>22</v>
      </c>
      <c r="F349" t="s">
        <v>30</v>
      </c>
      <c r="G349">
        <v>3</v>
      </c>
      <c r="H349">
        <v>118.65</v>
      </c>
      <c r="I349">
        <v>0.05</v>
      </c>
      <c r="J349">
        <v>338.15</v>
      </c>
      <c r="K349">
        <v>241.33</v>
      </c>
      <c r="L349">
        <v>96.82</v>
      </c>
      <c r="M349" t="s">
        <v>31</v>
      </c>
      <c r="N349" t="str">
        <f t="shared" si="11"/>
        <v>OK</v>
      </c>
      <c r="O349" s="7" t="str">
        <f t="shared" si="12"/>
        <v>OK</v>
      </c>
    </row>
    <row r="350" spans="1:15">
      <c r="A350" t="s">
        <v>547</v>
      </c>
      <c r="B350" s="2">
        <v>45986</v>
      </c>
      <c r="C350" t="s">
        <v>147</v>
      </c>
      <c r="D350" t="s">
        <v>88</v>
      </c>
      <c r="E350" t="s">
        <v>16</v>
      </c>
      <c r="F350" t="s">
        <v>17</v>
      </c>
      <c r="G350">
        <v>5</v>
      </c>
      <c r="H350">
        <v>79.64</v>
      </c>
      <c r="I350">
        <v>0.15</v>
      </c>
      <c r="J350">
        <v>338.47</v>
      </c>
      <c r="K350">
        <v>272.5</v>
      </c>
      <c r="L350">
        <v>65.97</v>
      </c>
      <c r="M350" t="s">
        <v>18</v>
      </c>
      <c r="N350" t="str">
        <f t="shared" si="11"/>
        <v>OK</v>
      </c>
      <c r="O350" s="7" t="str">
        <f t="shared" si="12"/>
        <v>OK</v>
      </c>
    </row>
    <row r="351" spans="1:15">
      <c r="A351" t="s">
        <v>225</v>
      </c>
      <c r="B351" s="2">
        <v>45768</v>
      </c>
      <c r="C351" t="s">
        <v>38</v>
      </c>
      <c r="D351" t="s">
        <v>45</v>
      </c>
      <c r="E351" t="s">
        <v>22</v>
      </c>
      <c r="F351" t="s">
        <v>23</v>
      </c>
      <c r="G351">
        <v>2</v>
      </c>
      <c r="H351">
        <v>170.93</v>
      </c>
      <c r="I351">
        <v>0</v>
      </c>
      <c r="J351">
        <v>341.86</v>
      </c>
      <c r="K351">
        <v>248.15</v>
      </c>
      <c r="L351">
        <v>93.71</v>
      </c>
      <c r="M351" t="s">
        <v>18</v>
      </c>
      <c r="N351" t="str">
        <f t="shared" si="11"/>
        <v>OK</v>
      </c>
      <c r="O351" s="7" t="str">
        <f t="shared" si="12"/>
        <v>OK</v>
      </c>
    </row>
    <row r="352" spans="1:15">
      <c r="A352" t="s">
        <v>455</v>
      </c>
      <c r="B352" s="2">
        <v>45716</v>
      </c>
      <c r="C352" t="s">
        <v>127</v>
      </c>
      <c r="D352" t="s">
        <v>29</v>
      </c>
      <c r="E352" t="s">
        <v>22</v>
      </c>
      <c r="F352" t="s">
        <v>17</v>
      </c>
      <c r="G352">
        <v>3</v>
      </c>
      <c r="H352">
        <v>119.97</v>
      </c>
      <c r="I352">
        <v>0.05</v>
      </c>
      <c r="J352">
        <v>341.91</v>
      </c>
      <c r="K352">
        <v>194.44</v>
      </c>
      <c r="L352">
        <v>147.47</v>
      </c>
      <c r="M352" t="s">
        <v>24</v>
      </c>
      <c r="N352" t="str">
        <f t="shared" si="11"/>
        <v>OK</v>
      </c>
      <c r="O352" s="7" t="str">
        <f t="shared" si="12"/>
        <v>OK</v>
      </c>
    </row>
    <row r="353" spans="1:15">
      <c r="A353" t="s">
        <v>363</v>
      </c>
      <c r="B353" s="2">
        <v>45709</v>
      </c>
      <c r="C353" t="s">
        <v>312</v>
      </c>
      <c r="D353" t="s">
        <v>21</v>
      </c>
      <c r="E353" t="s">
        <v>22</v>
      </c>
      <c r="F353" t="s">
        <v>30</v>
      </c>
      <c r="G353">
        <v>5</v>
      </c>
      <c r="H353">
        <v>68.48</v>
      </c>
      <c r="I353">
        <v>0</v>
      </c>
      <c r="J353">
        <v>342.4</v>
      </c>
      <c r="K353">
        <v>238.23</v>
      </c>
      <c r="L353">
        <v>104.17</v>
      </c>
      <c r="M353" t="s">
        <v>31</v>
      </c>
      <c r="N353" t="str">
        <f t="shared" si="11"/>
        <v>OK</v>
      </c>
      <c r="O353" s="7" t="str">
        <f t="shared" si="12"/>
        <v>OK</v>
      </c>
    </row>
    <row r="354" spans="1:15">
      <c r="A354" t="s">
        <v>228</v>
      </c>
      <c r="B354" s="2">
        <v>45959</v>
      </c>
      <c r="C354" t="s">
        <v>55</v>
      </c>
      <c r="D354" t="s">
        <v>110</v>
      </c>
      <c r="E354" t="s">
        <v>35</v>
      </c>
      <c r="F354" t="s">
        <v>30</v>
      </c>
      <c r="G354">
        <v>3</v>
      </c>
      <c r="H354">
        <v>134.66999999999999</v>
      </c>
      <c r="I354">
        <v>0.15</v>
      </c>
      <c r="J354">
        <v>343.41</v>
      </c>
      <c r="K354">
        <v>284.23</v>
      </c>
      <c r="L354">
        <v>59.18</v>
      </c>
      <c r="M354" t="s">
        <v>18</v>
      </c>
      <c r="N354" t="str">
        <f t="shared" si="11"/>
        <v>OK</v>
      </c>
      <c r="O354" s="7" t="str">
        <f t="shared" si="12"/>
        <v>OK</v>
      </c>
    </row>
    <row r="355" spans="1:15">
      <c r="A355" t="s">
        <v>126</v>
      </c>
      <c r="B355" s="2">
        <v>45837</v>
      </c>
      <c r="C355" t="s">
        <v>127</v>
      </c>
      <c r="D355" t="s">
        <v>41</v>
      </c>
      <c r="E355" t="s">
        <v>42</v>
      </c>
      <c r="F355" t="s">
        <v>36</v>
      </c>
      <c r="G355">
        <v>5</v>
      </c>
      <c r="H355">
        <v>76.540000000000006</v>
      </c>
      <c r="I355">
        <v>0.1</v>
      </c>
      <c r="J355">
        <v>344.43</v>
      </c>
      <c r="K355">
        <v>255.06</v>
      </c>
      <c r="L355">
        <v>89.37</v>
      </c>
      <c r="M355" t="s">
        <v>18</v>
      </c>
      <c r="N355" t="str">
        <f t="shared" si="11"/>
        <v>OK</v>
      </c>
      <c r="O355" s="7" t="str">
        <f t="shared" si="12"/>
        <v>OK</v>
      </c>
    </row>
    <row r="356" spans="1:15">
      <c r="A356" t="s">
        <v>664</v>
      </c>
      <c r="B356" s="2">
        <v>45978</v>
      </c>
      <c r="C356" t="s">
        <v>647</v>
      </c>
      <c r="D356" t="s">
        <v>88</v>
      </c>
      <c r="E356" t="s">
        <v>16</v>
      </c>
      <c r="F356" t="s">
        <v>17</v>
      </c>
      <c r="G356">
        <v>3</v>
      </c>
      <c r="H356">
        <v>127.91</v>
      </c>
      <c r="I356">
        <v>0.1</v>
      </c>
      <c r="J356">
        <v>345.36</v>
      </c>
      <c r="K356">
        <v>218.47</v>
      </c>
      <c r="L356">
        <v>126.89</v>
      </c>
      <c r="M356" t="s">
        <v>18</v>
      </c>
      <c r="N356" t="str">
        <f t="shared" si="11"/>
        <v>OK</v>
      </c>
      <c r="O356" s="7" t="str">
        <f t="shared" si="12"/>
        <v>OK</v>
      </c>
    </row>
    <row r="357" spans="1:15">
      <c r="A357" t="s">
        <v>479</v>
      </c>
      <c r="B357" s="2">
        <v>45932</v>
      </c>
      <c r="C357" t="s">
        <v>480</v>
      </c>
      <c r="D357" t="s">
        <v>29</v>
      </c>
      <c r="E357" t="s">
        <v>22</v>
      </c>
      <c r="F357" t="s">
        <v>23</v>
      </c>
      <c r="G357">
        <v>2</v>
      </c>
      <c r="H357">
        <v>174.19</v>
      </c>
      <c r="I357">
        <v>0</v>
      </c>
      <c r="J357">
        <v>348.38</v>
      </c>
      <c r="K357">
        <v>265.57</v>
      </c>
      <c r="L357">
        <v>82.81</v>
      </c>
      <c r="M357" t="s">
        <v>18</v>
      </c>
      <c r="N357" t="str">
        <f t="shared" si="11"/>
        <v>OK</v>
      </c>
      <c r="O357" s="7" t="str">
        <f t="shared" si="12"/>
        <v>OK</v>
      </c>
    </row>
    <row r="358" spans="1:15">
      <c r="A358" t="s">
        <v>213</v>
      </c>
      <c r="B358" s="2">
        <v>45699</v>
      </c>
      <c r="C358" t="s">
        <v>214</v>
      </c>
      <c r="D358" t="s">
        <v>70</v>
      </c>
      <c r="E358" t="s">
        <v>35</v>
      </c>
      <c r="F358" t="s">
        <v>36</v>
      </c>
      <c r="G358">
        <v>3</v>
      </c>
      <c r="H358">
        <v>122.41</v>
      </c>
      <c r="I358">
        <v>0.05</v>
      </c>
      <c r="J358">
        <v>348.87</v>
      </c>
      <c r="K358">
        <v>229.43</v>
      </c>
      <c r="L358">
        <v>119.44</v>
      </c>
      <c r="M358" t="s">
        <v>31</v>
      </c>
      <c r="N358" t="str">
        <f t="shared" si="11"/>
        <v>OK</v>
      </c>
      <c r="O358" s="7" t="str">
        <f t="shared" si="12"/>
        <v>OK</v>
      </c>
    </row>
    <row r="359" spans="1:15">
      <c r="A359" t="s">
        <v>151</v>
      </c>
      <c r="B359" s="2">
        <v>46018</v>
      </c>
      <c r="C359" t="s">
        <v>152</v>
      </c>
      <c r="D359" t="s">
        <v>88</v>
      </c>
      <c r="E359" t="s">
        <v>16</v>
      </c>
      <c r="F359" t="s">
        <v>30</v>
      </c>
      <c r="G359">
        <v>5</v>
      </c>
      <c r="H359">
        <v>77.69</v>
      </c>
      <c r="I359">
        <v>0.1</v>
      </c>
      <c r="J359">
        <v>349.6</v>
      </c>
      <c r="K359">
        <v>269.99</v>
      </c>
      <c r="L359">
        <v>79.61</v>
      </c>
      <c r="M359" t="s">
        <v>31</v>
      </c>
      <c r="N359" t="str">
        <f t="shared" si="11"/>
        <v>OK</v>
      </c>
      <c r="O359" s="7" t="str">
        <f t="shared" si="12"/>
        <v>OK</v>
      </c>
    </row>
    <row r="360" spans="1:15">
      <c r="A360" t="s">
        <v>471</v>
      </c>
      <c r="B360" s="2">
        <v>45905</v>
      </c>
      <c r="C360" t="s">
        <v>472</v>
      </c>
      <c r="D360" t="s">
        <v>53</v>
      </c>
      <c r="E360" t="s">
        <v>42</v>
      </c>
      <c r="F360" t="s">
        <v>17</v>
      </c>
      <c r="G360">
        <v>3</v>
      </c>
      <c r="H360">
        <v>117.07</v>
      </c>
      <c r="I360">
        <v>0</v>
      </c>
      <c r="J360">
        <v>351.21</v>
      </c>
      <c r="K360">
        <v>264.41000000000003</v>
      </c>
      <c r="L360">
        <v>86.8</v>
      </c>
      <c r="M360" t="s">
        <v>18</v>
      </c>
      <c r="N360" t="str">
        <f t="shared" si="11"/>
        <v>OK</v>
      </c>
      <c r="O360" s="7" t="str">
        <f t="shared" si="12"/>
        <v>OK</v>
      </c>
    </row>
    <row r="361" spans="1:15">
      <c r="A361" t="s">
        <v>630</v>
      </c>
      <c r="B361" s="2">
        <v>45904</v>
      </c>
      <c r="C361" t="s">
        <v>38</v>
      </c>
      <c r="D361" t="s">
        <v>70</v>
      </c>
      <c r="E361" t="s">
        <v>35</v>
      </c>
      <c r="F361" t="s">
        <v>30</v>
      </c>
      <c r="G361">
        <v>5</v>
      </c>
      <c r="H361">
        <v>78.709999999999994</v>
      </c>
      <c r="I361">
        <v>0.1</v>
      </c>
      <c r="J361">
        <v>354.2</v>
      </c>
      <c r="K361">
        <v>235.7</v>
      </c>
      <c r="L361">
        <v>118.5</v>
      </c>
      <c r="M361" t="s">
        <v>31</v>
      </c>
      <c r="N361" t="str">
        <f t="shared" si="11"/>
        <v>OK</v>
      </c>
      <c r="O361" s="7" t="str">
        <f t="shared" si="12"/>
        <v>OK</v>
      </c>
    </row>
    <row r="362" spans="1:15">
      <c r="A362" t="s">
        <v>99</v>
      </c>
      <c r="B362" s="2">
        <v>45890</v>
      </c>
      <c r="C362" t="s">
        <v>100</v>
      </c>
      <c r="D362" t="s">
        <v>48</v>
      </c>
      <c r="E362" t="s">
        <v>35</v>
      </c>
      <c r="F362" t="s">
        <v>23</v>
      </c>
      <c r="G362">
        <v>4</v>
      </c>
      <c r="H362">
        <v>88.83</v>
      </c>
      <c r="I362">
        <v>0</v>
      </c>
      <c r="J362">
        <v>355.32</v>
      </c>
      <c r="K362">
        <v>289.60000000000002</v>
      </c>
      <c r="L362">
        <v>65.72</v>
      </c>
      <c r="M362" t="s">
        <v>24</v>
      </c>
      <c r="N362" t="str">
        <f t="shared" si="11"/>
        <v>OK</v>
      </c>
      <c r="O362" s="7" t="str">
        <f t="shared" si="12"/>
        <v>OK</v>
      </c>
    </row>
    <row r="363" spans="1:15">
      <c r="A363" t="s">
        <v>634</v>
      </c>
      <c r="B363" s="2">
        <v>46011</v>
      </c>
      <c r="C363" t="s">
        <v>395</v>
      </c>
      <c r="D363" t="s">
        <v>105</v>
      </c>
      <c r="E363" t="s">
        <v>42</v>
      </c>
      <c r="F363" t="s">
        <v>36</v>
      </c>
      <c r="G363">
        <v>3</v>
      </c>
      <c r="H363">
        <v>124.78</v>
      </c>
      <c r="I363">
        <v>0.05</v>
      </c>
      <c r="J363">
        <v>355.62</v>
      </c>
      <c r="K363">
        <v>275.99</v>
      </c>
      <c r="L363">
        <v>79.63</v>
      </c>
      <c r="M363" t="s">
        <v>31</v>
      </c>
      <c r="N363" t="str">
        <f t="shared" si="11"/>
        <v>OK</v>
      </c>
      <c r="O363" s="7" t="str">
        <f t="shared" si="12"/>
        <v>OK</v>
      </c>
    </row>
    <row r="364" spans="1:15">
      <c r="A364" t="s">
        <v>334</v>
      </c>
      <c r="B364" s="2">
        <v>45894</v>
      </c>
      <c r="C364" t="s">
        <v>335</v>
      </c>
      <c r="D364" t="s">
        <v>53</v>
      </c>
      <c r="E364" t="s">
        <v>42</v>
      </c>
      <c r="F364" t="s">
        <v>23</v>
      </c>
      <c r="G364">
        <v>2</v>
      </c>
      <c r="H364">
        <v>178.65</v>
      </c>
      <c r="I364">
        <v>0</v>
      </c>
      <c r="J364">
        <v>357.3</v>
      </c>
      <c r="K364">
        <v>235.01</v>
      </c>
      <c r="L364">
        <v>122.29</v>
      </c>
      <c r="M364" t="s">
        <v>18</v>
      </c>
      <c r="N364" t="str">
        <f t="shared" si="11"/>
        <v>OK</v>
      </c>
      <c r="O364" s="7" t="str">
        <f t="shared" si="12"/>
        <v>OK</v>
      </c>
    </row>
    <row r="365" spans="1:15">
      <c r="A365" t="s">
        <v>163</v>
      </c>
      <c r="B365" s="2">
        <v>45908</v>
      </c>
      <c r="C365" t="s">
        <v>164</v>
      </c>
      <c r="D365" t="s">
        <v>41</v>
      </c>
      <c r="E365" t="s">
        <v>42</v>
      </c>
      <c r="F365" t="s">
        <v>30</v>
      </c>
      <c r="G365">
        <v>3</v>
      </c>
      <c r="H365">
        <v>132.82</v>
      </c>
      <c r="I365">
        <v>0.1</v>
      </c>
      <c r="J365">
        <v>358.61</v>
      </c>
      <c r="K365">
        <v>242.23</v>
      </c>
      <c r="L365">
        <v>116.38</v>
      </c>
      <c r="M365" t="s">
        <v>18</v>
      </c>
      <c r="N365" t="str">
        <f t="shared" si="11"/>
        <v>OK</v>
      </c>
      <c r="O365" s="7" t="str">
        <f t="shared" si="12"/>
        <v>OK</v>
      </c>
    </row>
    <row r="366" spans="1:15">
      <c r="A366" t="s">
        <v>608</v>
      </c>
      <c r="B366" s="2">
        <v>45791</v>
      </c>
      <c r="C366" t="s">
        <v>312</v>
      </c>
      <c r="D366" t="s">
        <v>15</v>
      </c>
      <c r="E366" t="s">
        <v>16</v>
      </c>
      <c r="F366" t="s">
        <v>36</v>
      </c>
      <c r="G366">
        <v>3</v>
      </c>
      <c r="H366">
        <v>119.54</v>
      </c>
      <c r="I366">
        <v>0</v>
      </c>
      <c r="J366">
        <v>358.62</v>
      </c>
      <c r="K366">
        <v>198.87</v>
      </c>
      <c r="L366">
        <v>159.75</v>
      </c>
      <c r="M366" t="s">
        <v>18</v>
      </c>
      <c r="N366" t="str">
        <f t="shared" si="11"/>
        <v>OK</v>
      </c>
      <c r="O366" s="7" t="str">
        <f t="shared" si="12"/>
        <v>OK</v>
      </c>
    </row>
    <row r="367" spans="1:15">
      <c r="A367" t="s">
        <v>661</v>
      </c>
      <c r="B367" s="2">
        <v>45840</v>
      </c>
      <c r="C367" t="s">
        <v>480</v>
      </c>
      <c r="D367" t="s">
        <v>88</v>
      </c>
      <c r="E367" t="s">
        <v>16</v>
      </c>
      <c r="F367" t="s">
        <v>30</v>
      </c>
      <c r="G367">
        <v>4</v>
      </c>
      <c r="H367">
        <v>105.95</v>
      </c>
      <c r="I367">
        <v>0.15</v>
      </c>
      <c r="J367">
        <v>360.23</v>
      </c>
      <c r="K367">
        <v>239.1</v>
      </c>
      <c r="L367">
        <v>121.13</v>
      </c>
      <c r="M367" t="s">
        <v>18</v>
      </c>
      <c r="N367" t="str">
        <f t="shared" si="11"/>
        <v>OK</v>
      </c>
      <c r="O367" s="7" t="str">
        <f t="shared" si="12"/>
        <v>OK</v>
      </c>
    </row>
    <row r="368" spans="1:15">
      <c r="A368" t="s">
        <v>236</v>
      </c>
      <c r="B368" s="2">
        <v>45962</v>
      </c>
      <c r="C368" t="s">
        <v>237</v>
      </c>
      <c r="D368" t="s">
        <v>88</v>
      </c>
      <c r="E368" t="s">
        <v>238</v>
      </c>
      <c r="F368" t="s">
        <v>30</v>
      </c>
      <c r="G368">
        <v>5</v>
      </c>
      <c r="H368">
        <v>76.34</v>
      </c>
      <c r="I368">
        <v>0.05</v>
      </c>
      <c r="J368">
        <v>362.62</v>
      </c>
      <c r="K368">
        <v>286.45</v>
      </c>
      <c r="L368">
        <v>76.17</v>
      </c>
      <c r="M368" t="s">
        <v>31</v>
      </c>
      <c r="N368" t="str">
        <f t="shared" si="11"/>
        <v>OK</v>
      </c>
      <c r="O368" s="7" t="str">
        <f t="shared" si="12"/>
        <v>OK</v>
      </c>
    </row>
    <row r="369" spans="1:15">
      <c r="A369" t="s">
        <v>702</v>
      </c>
      <c r="B369" s="2">
        <v>45895</v>
      </c>
      <c r="C369" t="s">
        <v>38</v>
      </c>
      <c r="D369" t="s">
        <v>70</v>
      </c>
      <c r="E369" t="s">
        <v>35</v>
      </c>
      <c r="F369" t="s">
        <v>23</v>
      </c>
      <c r="G369">
        <v>4</v>
      </c>
      <c r="H369">
        <v>115.1</v>
      </c>
      <c r="I369">
        <v>0.2</v>
      </c>
      <c r="J369">
        <v>368.32</v>
      </c>
      <c r="K369">
        <v>237.04</v>
      </c>
      <c r="L369">
        <v>131.28</v>
      </c>
      <c r="M369" t="s">
        <v>18</v>
      </c>
      <c r="N369" t="str">
        <f t="shared" si="11"/>
        <v>OK</v>
      </c>
      <c r="O369" s="7" t="str">
        <f t="shared" si="12"/>
        <v>OK</v>
      </c>
    </row>
    <row r="370" spans="1:15">
      <c r="A370" t="s">
        <v>598</v>
      </c>
      <c r="B370" s="2">
        <v>45985</v>
      </c>
      <c r="C370" t="s">
        <v>242</v>
      </c>
      <c r="D370" t="s">
        <v>61</v>
      </c>
      <c r="E370" t="s">
        <v>42</v>
      </c>
      <c r="F370" t="s">
        <v>30</v>
      </c>
      <c r="G370">
        <v>3</v>
      </c>
      <c r="H370">
        <v>154.32</v>
      </c>
      <c r="I370">
        <v>0.2</v>
      </c>
      <c r="J370">
        <v>370.37</v>
      </c>
      <c r="K370">
        <v>273.48</v>
      </c>
      <c r="L370">
        <v>96.89</v>
      </c>
      <c r="M370" t="s">
        <v>24</v>
      </c>
      <c r="N370" t="str">
        <f t="shared" si="11"/>
        <v>OK</v>
      </c>
      <c r="O370" s="7" t="str">
        <f t="shared" si="12"/>
        <v>OK</v>
      </c>
    </row>
    <row r="371" spans="1:15">
      <c r="A371" t="s">
        <v>327</v>
      </c>
      <c r="B371" s="2">
        <v>45716</v>
      </c>
      <c r="C371" t="s">
        <v>314</v>
      </c>
      <c r="D371" t="s">
        <v>45</v>
      </c>
      <c r="E371" t="s">
        <v>22</v>
      </c>
      <c r="F371" t="s">
        <v>23</v>
      </c>
      <c r="G371">
        <v>4</v>
      </c>
      <c r="H371">
        <v>103.52</v>
      </c>
      <c r="I371">
        <v>0.1</v>
      </c>
      <c r="J371">
        <v>372.67</v>
      </c>
      <c r="K371">
        <v>230.51</v>
      </c>
      <c r="L371">
        <v>142.16</v>
      </c>
      <c r="M371" t="s">
        <v>18</v>
      </c>
      <c r="N371" t="str">
        <f t="shared" si="11"/>
        <v>OK</v>
      </c>
      <c r="O371" s="7" t="str">
        <f t="shared" si="12"/>
        <v>OK</v>
      </c>
    </row>
    <row r="372" spans="1:15">
      <c r="A372" t="s">
        <v>439</v>
      </c>
      <c r="B372" s="2">
        <v>45732</v>
      </c>
      <c r="C372" t="s">
        <v>321</v>
      </c>
      <c r="D372" t="s">
        <v>110</v>
      </c>
      <c r="E372" t="s">
        <v>35</v>
      </c>
      <c r="F372" t="s">
        <v>30</v>
      </c>
      <c r="G372">
        <v>4</v>
      </c>
      <c r="H372">
        <v>93.34</v>
      </c>
      <c r="I372">
        <v>0</v>
      </c>
      <c r="J372">
        <v>373.36</v>
      </c>
      <c r="K372">
        <v>282.18</v>
      </c>
      <c r="L372">
        <v>91.18</v>
      </c>
      <c r="M372" t="s">
        <v>24</v>
      </c>
      <c r="N372" t="str">
        <f t="shared" si="11"/>
        <v>OK</v>
      </c>
      <c r="O372" s="7" t="str">
        <f t="shared" si="12"/>
        <v>OK</v>
      </c>
    </row>
    <row r="373" spans="1:15">
      <c r="A373" t="s">
        <v>255</v>
      </c>
      <c r="B373" s="2">
        <v>45733</v>
      </c>
      <c r="C373" t="s">
        <v>256</v>
      </c>
      <c r="D373" t="s">
        <v>110</v>
      </c>
      <c r="E373" t="s">
        <v>35</v>
      </c>
      <c r="F373" t="s">
        <v>30</v>
      </c>
      <c r="G373">
        <v>4</v>
      </c>
      <c r="H373">
        <v>93.67</v>
      </c>
      <c r="I373">
        <v>0</v>
      </c>
      <c r="J373">
        <v>374.68</v>
      </c>
      <c r="K373">
        <v>251.63</v>
      </c>
      <c r="L373">
        <v>123.05</v>
      </c>
      <c r="M373" t="s">
        <v>18</v>
      </c>
      <c r="N373" t="str">
        <f t="shared" si="11"/>
        <v>OK</v>
      </c>
      <c r="O373" s="7" t="str">
        <f t="shared" si="12"/>
        <v>OK</v>
      </c>
    </row>
    <row r="374" spans="1:15">
      <c r="A374" t="s">
        <v>694</v>
      </c>
      <c r="B374" s="2">
        <v>45970</v>
      </c>
      <c r="C374" t="s">
        <v>72</v>
      </c>
      <c r="D374" t="s">
        <v>77</v>
      </c>
      <c r="E374" t="s">
        <v>22</v>
      </c>
      <c r="F374" t="s">
        <v>30</v>
      </c>
      <c r="G374">
        <v>4</v>
      </c>
      <c r="H374">
        <v>94.22</v>
      </c>
      <c r="I374">
        <v>0</v>
      </c>
      <c r="J374">
        <v>376.88</v>
      </c>
      <c r="K374">
        <v>211.23</v>
      </c>
      <c r="L374">
        <v>165.65</v>
      </c>
      <c r="M374" t="s">
        <v>18</v>
      </c>
      <c r="N374" t="str">
        <f t="shared" si="11"/>
        <v>OK</v>
      </c>
      <c r="O374" s="7" t="str">
        <f t="shared" si="12"/>
        <v>OK</v>
      </c>
    </row>
    <row r="375" spans="1:15">
      <c r="A375" t="s">
        <v>226</v>
      </c>
      <c r="B375" s="2">
        <v>45749</v>
      </c>
      <c r="C375" t="s">
        <v>227</v>
      </c>
      <c r="D375" t="s">
        <v>15</v>
      </c>
      <c r="E375" t="s">
        <v>16</v>
      </c>
      <c r="F375" t="s">
        <v>36</v>
      </c>
      <c r="G375">
        <v>4</v>
      </c>
      <c r="H375">
        <v>105.2</v>
      </c>
      <c r="I375">
        <v>0.1</v>
      </c>
      <c r="J375">
        <v>378.72</v>
      </c>
      <c r="K375">
        <v>313.11</v>
      </c>
      <c r="L375">
        <v>65.61</v>
      </c>
      <c r="M375" t="s">
        <v>18</v>
      </c>
      <c r="N375" t="str">
        <f t="shared" si="11"/>
        <v>OK</v>
      </c>
      <c r="O375" s="7" t="str">
        <f t="shared" si="12"/>
        <v>OK</v>
      </c>
    </row>
    <row r="376" spans="1:15">
      <c r="A376" t="s">
        <v>381</v>
      </c>
      <c r="B376" s="2">
        <v>45693</v>
      </c>
      <c r="C376" t="s">
        <v>206</v>
      </c>
      <c r="D376" t="s">
        <v>105</v>
      </c>
      <c r="E376" t="s">
        <v>42</v>
      </c>
      <c r="F376" t="s">
        <v>30</v>
      </c>
      <c r="G376">
        <v>3</v>
      </c>
      <c r="H376">
        <v>133.66999999999999</v>
      </c>
      <c r="I376">
        <v>0.05</v>
      </c>
      <c r="J376">
        <v>380.96</v>
      </c>
      <c r="K376">
        <v>216.4</v>
      </c>
      <c r="L376">
        <v>164.56</v>
      </c>
      <c r="M376" t="s">
        <v>24</v>
      </c>
      <c r="N376" t="str">
        <f t="shared" si="11"/>
        <v>OK</v>
      </c>
      <c r="O376" s="7" t="str">
        <f t="shared" si="12"/>
        <v>OK</v>
      </c>
    </row>
    <row r="377" spans="1:15">
      <c r="A377" t="s">
        <v>149</v>
      </c>
      <c r="B377" s="2">
        <v>45676</v>
      </c>
      <c r="C377" t="s">
        <v>150</v>
      </c>
      <c r="D377" t="s">
        <v>61</v>
      </c>
      <c r="E377" t="s">
        <v>42</v>
      </c>
      <c r="F377" t="s">
        <v>36</v>
      </c>
      <c r="G377">
        <v>3</v>
      </c>
      <c r="H377">
        <v>141.66999999999999</v>
      </c>
      <c r="I377">
        <v>0.1</v>
      </c>
      <c r="J377">
        <v>382.51</v>
      </c>
      <c r="K377">
        <v>259.06</v>
      </c>
      <c r="L377">
        <v>123.45</v>
      </c>
      <c r="M377" t="s">
        <v>18</v>
      </c>
      <c r="N377" t="str">
        <f t="shared" si="11"/>
        <v>OK</v>
      </c>
      <c r="O377" s="7" t="str">
        <f t="shared" si="12"/>
        <v>OK</v>
      </c>
    </row>
    <row r="378" spans="1:15">
      <c r="A378" t="s">
        <v>683</v>
      </c>
      <c r="B378" s="2">
        <v>45696</v>
      </c>
      <c r="C378" t="s">
        <v>285</v>
      </c>
      <c r="D378" t="s">
        <v>110</v>
      </c>
      <c r="E378" t="s">
        <v>35</v>
      </c>
      <c r="F378" t="s">
        <v>30</v>
      </c>
      <c r="G378">
        <v>3</v>
      </c>
      <c r="H378">
        <v>134.63</v>
      </c>
      <c r="I378">
        <v>0.05</v>
      </c>
      <c r="J378">
        <v>383.7</v>
      </c>
      <c r="K378">
        <v>311.14</v>
      </c>
      <c r="L378">
        <v>72.56</v>
      </c>
      <c r="M378" t="s">
        <v>24</v>
      </c>
      <c r="N378" t="str">
        <f t="shared" si="11"/>
        <v>OK</v>
      </c>
      <c r="O378" s="7" t="str">
        <f t="shared" si="12"/>
        <v>OK</v>
      </c>
    </row>
    <row r="379" spans="1:15">
      <c r="A379" t="s">
        <v>502</v>
      </c>
      <c r="B379" s="2">
        <v>45738</v>
      </c>
      <c r="C379" t="s">
        <v>287</v>
      </c>
      <c r="D379" t="s">
        <v>77</v>
      </c>
      <c r="E379" t="s">
        <v>22</v>
      </c>
      <c r="F379" t="s">
        <v>36</v>
      </c>
      <c r="G379">
        <v>3</v>
      </c>
      <c r="H379">
        <v>135.44999999999999</v>
      </c>
      <c r="I379">
        <v>0.05</v>
      </c>
      <c r="J379">
        <v>386.03</v>
      </c>
      <c r="K379">
        <v>308.32</v>
      </c>
      <c r="L379">
        <v>77.709999999999994</v>
      </c>
      <c r="M379" t="s">
        <v>18</v>
      </c>
      <c r="N379" t="str">
        <f t="shared" si="11"/>
        <v>OK</v>
      </c>
      <c r="O379" s="7" t="str">
        <f t="shared" si="12"/>
        <v>OK</v>
      </c>
    </row>
    <row r="380" spans="1:15">
      <c r="A380" t="s">
        <v>631</v>
      </c>
      <c r="B380" s="2">
        <v>45783</v>
      </c>
      <c r="C380" t="s">
        <v>76</v>
      </c>
      <c r="D380" t="s">
        <v>105</v>
      </c>
      <c r="E380" t="s">
        <v>42</v>
      </c>
      <c r="F380" t="s">
        <v>36</v>
      </c>
      <c r="G380">
        <v>4</v>
      </c>
      <c r="H380">
        <v>-25</v>
      </c>
      <c r="I380">
        <v>0</v>
      </c>
      <c r="J380">
        <v>386.28</v>
      </c>
      <c r="K380">
        <v>222.14</v>
      </c>
      <c r="L380">
        <v>164.14</v>
      </c>
      <c r="M380" t="s">
        <v>18</v>
      </c>
      <c r="N380" t="str">
        <f t="shared" si="11"/>
        <v>Mismatch</v>
      </c>
      <c r="O380" s="7" t="str">
        <f t="shared" si="12"/>
        <v>OK</v>
      </c>
    </row>
    <row r="381" spans="1:15">
      <c r="A381" t="s">
        <v>167</v>
      </c>
      <c r="B381" s="2">
        <v>45968</v>
      </c>
      <c r="C381" t="s">
        <v>168</v>
      </c>
      <c r="D381" t="s">
        <v>110</v>
      </c>
      <c r="E381" t="s">
        <v>35</v>
      </c>
      <c r="F381" t="s">
        <v>23</v>
      </c>
      <c r="G381">
        <v>3</v>
      </c>
      <c r="H381">
        <v>152.84</v>
      </c>
      <c r="I381">
        <v>0.15</v>
      </c>
      <c r="J381">
        <v>389.74</v>
      </c>
      <c r="K381">
        <v>269.16000000000003</v>
      </c>
      <c r="L381">
        <v>120.58</v>
      </c>
      <c r="M381" t="s">
        <v>18</v>
      </c>
      <c r="N381" t="str">
        <f t="shared" si="11"/>
        <v>OK</v>
      </c>
      <c r="O381" s="7" t="str">
        <f t="shared" si="12"/>
        <v>OK</v>
      </c>
    </row>
    <row r="382" spans="1:15">
      <c r="A382" t="s">
        <v>95</v>
      </c>
      <c r="B382" s="2">
        <v>45943</v>
      </c>
      <c r="C382" t="s">
        <v>96</v>
      </c>
      <c r="D382" t="s">
        <v>56</v>
      </c>
      <c r="E382" t="s">
        <v>16</v>
      </c>
      <c r="F382" t="s">
        <v>23</v>
      </c>
      <c r="G382">
        <v>5</v>
      </c>
      <c r="H382">
        <v>91.72</v>
      </c>
      <c r="I382">
        <v>0.15</v>
      </c>
      <c r="J382">
        <v>389.81</v>
      </c>
      <c r="K382">
        <v>265.19</v>
      </c>
      <c r="L382">
        <v>124.62</v>
      </c>
      <c r="M382" t="s">
        <v>31</v>
      </c>
      <c r="N382" t="str">
        <f t="shared" si="11"/>
        <v>OK</v>
      </c>
      <c r="O382" s="7" t="str">
        <f t="shared" si="12"/>
        <v>OK</v>
      </c>
    </row>
    <row r="383" spans="1:15">
      <c r="A383" t="s">
        <v>585</v>
      </c>
      <c r="B383" s="2">
        <v>45974</v>
      </c>
      <c r="C383" t="s">
        <v>359</v>
      </c>
      <c r="D383" t="s">
        <v>70</v>
      </c>
      <c r="E383" t="s">
        <v>35</v>
      </c>
      <c r="F383" t="s">
        <v>23</v>
      </c>
      <c r="G383">
        <v>4</v>
      </c>
      <c r="H383">
        <v>97.87</v>
      </c>
      <c r="I383">
        <v>0</v>
      </c>
      <c r="J383">
        <v>391.48</v>
      </c>
      <c r="K383">
        <v>329.6</v>
      </c>
      <c r="L383">
        <v>61.88</v>
      </c>
      <c r="M383" t="s">
        <v>31</v>
      </c>
      <c r="N383" t="str">
        <f t="shared" si="11"/>
        <v>OK</v>
      </c>
      <c r="O383" s="7" t="str">
        <f t="shared" si="12"/>
        <v>OK</v>
      </c>
    </row>
    <row r="384" spans="1:15">
      <c r="A384" t="s">
        <v>284</v>
      </c>
      <c r="B384" s="2">
        <v>45716</v>
      </c>
      <c r="C384" t="s">
        <v>285</v>
      </c>
      <c r="D384" t="s">
        <v>56</v>
      </c>
      <c r="E384" t="s">
        <v>16</v>
      </c>
      <c r="F384" t="s">
        <v>23</v>
      </c>
      <c r="G384">
        <v>3</v>
      </c>
      <c r="H384">
        <v>163.44</v>
      </c>
      <c r="I384">
        <v>0.2</v>
      </c>
      <c r="J384">
        <v>392.26</v>
      </c>
      <c r="K384">
        <v>303.22000000000003</v>
      </c>
      <c r="L384">
        <v>89.04</v>
      </c>
      <c r="M384" t="s">
        <v>24</v>
      </c>
      <c r="N384" t="str">
        <f t="shared" si="11"/>
        <v>OK</v>
      </c>
      <c r="O384" s="7" t="str">
        <f t="shared" si="12"/>
        <v>OK</v>
      </c>
    </row>
    <row r="385" spans="1:15">
      <c r="A385" t="s">
        <v>595</v>
      </c>
      <c r="B385" s="2">
        <v>45825</v>
      </c>
      <c r="C385" t="s">
        <v>170</v>
      </c>
      <c r="D385" t="s">
        <v>34</v>
      </c>
      <c r="E385" t="s">
        <v>35</v>
      </c>
      <c r="F385" t="s">
        <v>30</v>
      </c>
      <c r="G385">
        <v>4</v>
      </c>
      <c r="H385">
        <v>104.14</v>
      </c>
      <c r="I385">
        <v>0.05</v>
      </c>
      <c r="J385">
        <v>395.73</v>
      </c>
      <c r="K385">
        <v>301.49</v>
      </c>
      <c r="L385">
        <v>94.24</v>
      </c>
      <c r="M385" t="s">
        <v>18</v>
      </c>
      <c r="N385" t="str">
        <f t="shared" si="11"/>
        <v>OK</v>
      </c>
      <c r="O385" s="7" t="str">
        <f t="shared" si="12"/>
        <v>OK</v>
      </c>
    </row>
    <row r="386" spans="1:15">
      <c r="A386" t="s">
        <v>563</v>
      </c>
      <c r="B386" s="2">
        <v>45951</v>
      </c>
      <c r="C386" t="s">
        <v>278</v>
      </c>
      <c r="D386" t="s">
        <v>41</v>
      </c>
      <c r="E386" t="s">
        <v>42</v>
      </c>
      <c r="F386" t="s">
        <v>36</v>
      </c>
      <c r="G386">
        <v>3</v>
      </c>
      <c r="H386">
        <v>138.91</v>
      </c>
      <c r="I386">
        <v>0.05</v>
      </c>
      <c r="J386">
        <v>395.89</v>
      </c>
      <c r="K386">
        <v>330.46</v>
      </c>
      <c r="L386">
        <v>65.430000000000007</v>
      </c>
      <c r="M386" t="s">
        <v>31</v>
      </c>
      <c r="N386" t="str">
        <f t="shared" ref="N386:N449" si="13">IF(ABS(ROUND(G386*H386*(1-I386),2)-J386)&lt;=0.01,"OK","Mismatch")</f>
        <v>OK</v>
      </c>
      <c r="O386" s="7" t="str">
        <f t="shared" ref="O386:O449" si="14">IF(ROUND(J386-K386,2)=ROUND(L386,2),"OK","Mismatch")</f>
        <v>OK</v>
      </c>
    </row>
    <row r="387" spans="1:15">
      <c r="A387" t="s">
        <v>700</v>
      </c>
      <c r="B387" s="2">
        <v>45695</v>
      </c>
      <c r="C387" t="s">
        <v>194</v>
      </c>
      <c r="D387" t="s">
        <v>139</v>
      </c>
      <c r="E387" t="s">
        <v>16</v>
      </c>
      <c r="F387" t="s">
        <v>30</v>
      </c>
      <c r="G387">
        <v>4</v>
      </c>
      <c r="H387">
        <v>110.73</v>
      </c>
      <c r="I387">
        <v>0.1</v>
      </c>
      <c r="J387">
        <v>398.63</v>
      </c>
      <c r="K387">
        <v>242.24</v>
      </c>
      <c r="L387">
        <v>156.38999999999999</v>
      </c>
      <c r="M387" t="s">
        <v>24</v>
      </c>
      <c r="N387" t="str">
        <f t="shared" si="13"/>
        <v>OK</v>
      </c>
      <c r="O387" s="7" t="str">
        <f t="shared" si="14"/>
        <v>OK</v>
      </c>
    </row>
    <row r="388" spans="1:15">
      <c r="A388" t="s">
        <v>201</v>
      </c>
      <c r="B388" s="2">
        <v>45719</v>
      </c>
      <c r="C388" t="s">
        <v>202</v>
      </c>
      <c r="D388" t="s">
        <v>29</v>
      </c>
      <c r="E388" t="s">
        <v>22</v>
      </c>
      <c r="F388" t="s">
        <v>17</v>
      </c>
      <c r="G388">
        <v>3</v>
      </c>
      <c r="H388">
        <v>156.87</v>
      </c>
      <c r="I388">
        <v>0.15</v>
      </c>
      <c r="J388">
        <v>400.02</v>
      </c>
      <c r="K388">
        <v>250.96</v>
      </c>
      <c r="L388">
        <v>149.06</v>
      </c>
      <c r="M388" t="s">
        <v>18</v>
      </c>
      <c r="N388" t="str">
        <f t="shared" si="13"/>
        <v>OK</v>
      </c>
      <c r="O388" s="7" t="str">
        <f t="shared" si="14"/>
        <v>OK</v>
      </c>
    </row>
    <row r="389" spans="1:15">
      <c r="A389" t="s">
        <v>619</v>
      </c>
      <c r="B389" s="2">
        <v>46002</v>
      </c>
      <c r="C389" t="s">
        <v>150</v>
      </c>
      <c r="D389" t="s">
        <v>45</v>
      </c>
      <c r="E389" t="s">
        <v>22</v>
      </c>
      <c r="F389" t="s">
        <v>30</v>
      </c>
      <c r="G389">
        <v>3</v>
      </c>
      <c r="H389">
        <v>140.57</v>
      </c>
      <c r="I389">
        <v>0.05</v>
      </c>
      <c r="J389">
        <v>400.62</v>
      </c>
      <c r="K389">
        <v>245.13</v>
      </c>
      <c r="L389">
        <v>155.49</v>
      </c>
      <c r="M389" t="s">
        <v>18</v>
      </c>
      <c r="N389" t="str">
        <f t="shared" si="13"/>
        <v>OK</v>
      </c>
      <c r="O389" s="7" t="str">
        <f t="shared" si="14"/>
        <v>OK</v>
      </c>
    </row>
    <row r="390" spans="1:15">
      <c r="A390" t="s">
        <v>561</v>
      </c>
      <c r="B390" s="2">
        <v>45714</v>
      </c>
      <c r="C390" t="s">
        <v>116</v>
      </c>
      <c r="D390" t="s">
        <v>139</v>
      </c>
      <c r="E390" t="s">
        <v>16</v>
      </c>
      <c r="F390" t="s">
        <v>17</v>
      </c>
      <c r="G390">
        <v>4</v>
      </c>
      <c r="H390">
        <v>118.56</v>
      </c>
      <c r="I390">
        <v>0.15</v>
      </c>
      <c r="J390">
        <v>403.1</v>
      </c>
      <c r="K390">
        <v>336.27</v>
      </c>
      <c r="L390">
        <v>66.83</v>
      </c>
      <c r="M390" t="s">
        <v>24</v>
      </c>
      <c r="N390" t="str">
        <f t="shared" si="13"/>
        <v>OK</v>
      </c>
      <c r="O390" s="7" t="str">
        <f t="shared" si="14"/>
        <v>OK</v>
      </c>
    </row>
    <row r="391" spans="1:15">
      <c r="A391" t="s">
        <v>361</v>
      </c>
      <c r="B391" s="2">
        <v>46021</v>
      </c>
      <c r="C391" t="s">
        <v>50</v>
      </c>
      <c r="D391" t="s">
        <v>15</v>
      </c>
      <c r="E391" t="s">
        <v>16</v>
      </c>
      <c r="F391" t="s">
        <v>17</v>
      </c>
      <c r="G391">
        <v>4</v>
      </c>
      <c r="H391">
        <v>112.56</v>
      </c>
      <c r="I391">
        <v>0.1</v>
      </c>
      <c r="J391">
        <v>405.22</v>
      </c>
      <c r="K391">
        <v>321.7</v>
      </c>
      <c r="L391">
        <v>83.52</v>
      </c>
      <c r="M391" t="s">
        <v>18</v>
      </c>
      <c r="N391" t="str">
        <f t="shared" si="13"/>
        <v>OK</v>
      </c>
      <c r="O391" s="7" t="str">
        <f t="shared" si="14"/>
        <v>OK</v>
      </c>
    </row>
    <row r="392" spans="1:15">
      <c r="A392" t="s">
        <v>616</v>
      </c>
      <c r="B392" s="2">
        <v>45751</v>
      </c>
      <c r="C392" t="s">
        <v>52</v>
      </c>
      <c r="D392" t="s">
        <v>45</v>
      </c>
      <c r="E392" t="s">
        <v>22</v>
      </c>
      <c r="F392" t="s">
        <v>17</v>
      </c>
      <c r="G392">
        <v>5</v>
      </c>
      <c r="H392">
        <v>81.06</v>
      </c>
      <c r="I392">
        <v>0</v>
      </c>
      <c r="J392">
        <v>405.3</v>
      </c>
      <c r="K392">
        <v>295.52</v>
      </c>
      <c r="L392">
        <v>109.78</v>
      </c>
      <c r="M392" t="s">
        <v>18</v>
      </c>
      <c r="N392" t="str">
        <f t="shared" si="13"/>
        <v>OK</v>
      </c>
      <c r="O392" s="7" t="str">
        <f t="shared" si="14"/>
        <v>OK</v>
      </c>
    </row>
    <row r="393" spans="1:15">
      <c r="A393" t="s">
        <v>46</v>
      </c>
      <c r="B393" s="2">
        <v>46002</v>
      </c>
      <c r="C393" t="s">
        <v>47</v>
      </c>
      <c r="D393" t="s">
        <v>48</v>
      </c>
      <c r="E393" t="s">
        <v>35</v>
      </c>
      <c r="F393" t="s">
        <v>30</v>
      </c>
      <c r="G393">
        <v>4</v>
      </c>
      <c r="H393">
        <v>101.34</v>
      </c>
      <c r="I393">
        <v>0</v>
      </c>
      <c r="J393">
        <v>405.36</v>
      </c>
      <c r="K393">
        <v>320.5</v>
      </c>
      <c r="L393">
        <v>84.86</v>
      </c>
      <c r="M393" t="s">
        <v>18</v>
      </c>
      <c r="N393" t="str">
        <f t="shared" si="13"/>
        <v>OK</v>
      </c>
      <c r="O393" s="7" t="str">
        <f t="shared" si="14"/>
        <v>OK</v>
      </c>
    </row>
    <row r="394" spans="1:15">
      <c r="A394" t="s">
        <v>677</v>
      </c>
      <c r="B394" s="2">
        <v>45769</v>
      </c>
      <c r="C394" t="s">
        <v>294</v>
      </c>
      <c r="D394" t="s">
        <v>77</v>
      </c>
      <c r="E394" t="s">
        <v>22</v>
      </c>
      <c r="F394" t="s">
        <v>36</v>
      </c>
      <c r="G394">
        <v>5</v>
      </c>
      <c r="H394">
        <v>90.3</v>
      </c>
      <c r="I394">
        <v>0.1</v>
      </c>
      <c r="J394">
        <v>406.35</v>
      </c>
      <c r="K394">
        <v>260.51</v>
      </c>
      <c r="L394">
        <v>145.84</v>
      </c>
      <c r="M394" t="s">
        <v>18</v>
      </c>
      <c r="N394" t="str">
        <f t="shared" si="13"/>
        <v>OK</v>
      </c>
      <c r="O394" s="7" t="str">
        <f t="shared" si="14"/>
        <v>OK</v>
      </c>
    </row>
    <row r="395" spans="1:15">
      <c r="A395" t="s">
        <v>557</v>
      </c>
      <c r="B395" s="2">
        <v>45871</v>
      </c>
      <c r="C395" t="s">
        <v>297</v>
      </c>
      <c r="D395" t="s">
        <v>48</v>
      </c>
      <c r="E395" t="s">
        <v>35</v>
      </c>
      <c r="F395" t="s">
        <v>23</v>
      </c>
      <c r="G395">
        <v>3</v>
      </c>
      <c r="H395">
        <v>150.72</v>
      </c>
      <c r="I395">
        <v>0.1</v>
      </c>
      <c r="J395">
        <v>406.94</v>
      </c>
      <c r="K395">
        <v>259.36</v>
      </c>
      <c r="L395">
        <v>147.58000000000001</v>
      </c>
      <c r="M395" t="s">
        <v>31</v>
      </c>
      <c r="N395" t="str">
        <f t="shared" si="13"/>
        <v>OK</v>
      </c>
      <c r="O395" s="7" t="str">
        <f t="shared" si="14"/>
        <v>OK</v>
      </c>
    </row>
    <row r="396" spans="1:15">
      <c r="A396" t="s">
        <v>464</v>
      </c>
      <c r="B396" s="2">
        <v>45720</v>
      </c>
      <c r="C396" t="s">
        <v>164</v>
      </c>
      <c r="D396" t="s">
        <v>77</v>
      </c>
      <c r="E396" t="s">
        <v>22</v>
      </c>
      <c r="F396" t="s">
        <v>17</v>
      </c>
      <c r="G396">
        <v>3</v>
      </c>
      <c r="H396">
        <v>159.78</v>
      </c>
      <c r="I396">
        <v>0.15</v>
      </c>
      <c r="J396">
        <v>407.44</v>
      </c>
      <c r="K396">
        <v>285.83999999999997</v>
      </c>
      <c r="L396">
        <v>121.6</v>
      </c>
      <c r="M396" t="s">
        <v>18</v>
      </c>
      <c r="N396" t="str">
        <f t="shared" si="13"/>
        <v>OK</v>
      </c>
      <c r="O396" s="7" t="str">
        <f t="shared" si="14"/>
        <v>OK</v>
      </c>
    </row>
    <row r="397" spans="1:15">
      <c r="A397" t="s">
        <v>89</v>
      </c>
      <c r="B397" s="2">
        <v>46006</v>
      </c>
      <c r="C397" t="s">
        <v>90</v>
      </c>
      <c r="D397" t="s">
        <v>29</v>
      </c>
      <c r="E397" t="s">
        <v>22</v>
      </c>
      <c r="F397" t="s">
        <v>23</v>
      </c>
      <c r="G397">
        <v>4</v>
      </c>
      <c r="H397">
        <v>107.88</v>
      </c>
      <c r="I397">
        <v>0.05</v>
      </c>
      <c r="J397">
        <v>409.94</v>
      </c>
      <c r="K397">
        <v>341.09</v>
      </c>
      <c r="L397">
        <v>68.849999999999994</v>
      </c>
      <c r="M397" t="s">
        <v>18</v>
      </c>
      <c r="N397" t="str">
        <f t="shared" si="13"/>
        <v>OK</v>
      </c>
      <c r="O397" s="7" t="str">
        <f t="shared" si="14"/>
        <v>OK</v>
      </c>
    </row>
    <row r="398" spans="1:15">
      <c r="A398" t="s">
        <v>442</v>
      </c>
      <c r="B398" s="2">
        <v>46013</v>
      </c>
      <c r="C398" t="s">
        <v>432</v>
      </c>
      <c r="D398" t="s">
        <v>88</v>
      </c>
      <c r="E398" t="s">
        <v>16</v>
      </c>
      <c r="F398" t="s">
        <v>36</v>
      </c>
      <c r="G398">
        <v>5</v>
      </c>
      <c r="H398">
        <v>87.42</v>
      </c>
      <c r="I398">
        <v>0.05</v>
      </c>
      <c r="J398">
        <v>415.24</v>
      </c>
      <c r="K398">
        <v>282.58999999999997</v>
      </c>
      <c r="L398">
        <v>132.65</v>
      </c>
      <c r="M398" t="s">
        <v>31</v>
      </c>
      <c r="N398" t="str">
        <f t="shared" si="13"/>
        <v>OK</v>
      </c>
      <c r="O398" s="7" t="str">
        <f t="shared" si="14"/>
        <v>OK</v>
      </c>
    </row>
    <row r="399" spans="1:15">
      <c r="A399" t="s">
        <v>590</v>
      </c>
      <c r="B399" s="2">
        <v>45708</v>
      </c>
      <c r="C399" t="s">
        <v>109</v>
      </c>
      <c r="D399" t="s">
        <v>88</v>
      </c>
      <c r="E399" t="s">
        <v>16</v>
      </c>
      <c r="F399" t="s">
        <v>30</v>
      </c>
      <c r="G399">
        <v>3</v>
      </c>
      <c r="H399">
        <v>138.55000000000001</v>
      </c>
      <c r="I399">
        <v>1.25</v>
      </c>
      <c r="J399">
        <v>415.65</v>
      </c>
      <c r="K399">
        <v>292.68</v>
      </c>
      <c r="L399">
        <v>122.97</v>
      </c>
      <c r="M399" t="s">
        <v>18</v>
      </c>
      <c r="N399" t="str">
        <f t="shared" si="13"/>
        <v>Mismatch</v>
      </c>
      <c r="O399" s="7" t="str">
        <f t="shared" si="14"/>
        <v>OK</v>
      </c>
    </row>
    <row r="400" spans="1:15">
      <c r="A400" t="s">
        <v>316</v>
      </c>
      <c r="B400" s="2">
        <v>45774</v>
      </c>
      <c r="C400" t="s">
        <v>20</v>
      </c>
      <c r="D400" t="s">
        <v>29</v>
      </c>
      <c r="E400" t="s">
        <v>22</v>
      </c>
      <c r="F400" t="s">
        <v>23</v>
      </c>
      <c r="G400">
        <v>4</v>
      </c>
      <c r="I400">
        <v>0</v>
      </c>
      <c r="J400">
        <v>416.2</v>
      </c>
      <c r="K400">
        <v>248.99</v>
      </c>
      <c r="L400">
        <v>167.21</v>
      </c>
      <c r="M400" t="s">
        <v>31</v>
      </c>
      <c r="N400" t="str">
        <f t="shared" si="13"/>
        <v>Mismatch</v>
      </c>
      <c r="O400" s="7" t="str">
        <f t="shared" si="14"/>
        <v>OK</v>
      </c>
    </row>
    <row r="401" spans="1:15">
      <c r="A401" t="s">
        <v>356</v>
      </c>
      <c r="B401" s="2">
        <v>45936</v>
      </c>
      <c r="C401" t="s">
        <v>170</v>
      </c>
      <c r="D401" t="s">
        <v>41</v>
      </c>
      <c r="E401" t="s">
        <v>42</v>
      </c>
      <c r="F401" t="s">
        <v>30</v>
      </c>
      <c r="G401">
        <v>4</v>
      </c>
      <c r="H401">
        <v>122.83</v>
      </c>
      <c r="I401">
        <v>0.15</v>
      </c>
      <c r="J401">
        <v>417.62</v>
      </c>
      <c r="K401">
        <v>325.19</v>
      </c>
      <c r="L401">
        <v>92.43</v>
      </c>
      <c r="M401" t="s">
        <v>18</v>
      </c>
      <c r="N401" t="str">
        <f t="shared" si="13"/>
        <v>OK</v>
      </c>
      <c r="O401" s="7" t="str">
        <f t="shared" si="14"/>
        <v>OK</v>
      </c>
    </row>
    <row r="402" spans="1:15">
      <c r="A402" t="s">
        <v>277</v>
      </c>
      <c r="B402" s="2">
        <v>45686</v>
      </c>
      <c r="C402" t="s">
        <v>278</v>
      </c>
      <c r="D402" t="s">
        <v>53</v>
      </c>
      <c r="E402" t="s">
        <v>42</v>
      </c>
      <c r="F402" t="s">
        <v>30</v>
      </c>
      <c r="G402">
        <v>5</v>
      </c>
      <c r="H402">
        <v>98.98</v>
      </c>
      <c r="I402">
        <v>0.15</v>
      </c>
      <c r="J402">
        <v>420.66</v>
      </c>
      <c r="K402">
        <v>332.17</v>
      </c>
      <c r="L402">
        <v>88.49</v>
      </c>
      <c r="M402" t="s">
        <v>24</v>
      </c>
      <c r="N402" t="str">
        <f t="shared" si="13"/>
        <v>OK</v>
      </c>
      <c r="O402" s="7" t="str">
        <f t="shared" si="14"/>
        <v>OK</v>
      </c>
    </row>
    <row r="403" spans="1:15">
      <c r="A403" t="s">
        <v>296</v>
      </c>
      <c r="B403" s="2">
        <v>46010</v>
      </c>
      <c r="C403" t="s">
        <v>297</v>
      </c>
      <c r="D403" t="s">
        <v>77</v>
      </c>
      <c r="E403" t="s">
        <v>22</v>
      </c>
      <c r="F403" t="s">
        <v>17</v>
      </c>
      <c r="G403">
        <v>3</v>
      </c>
      <c r="H403">
        <v>156.69</v>
      </c>
      <c r="I403">
        <v>0.1</v>
      </c>
      <c r="J403">
        <v>423.06</v>
      </c>
      <c r="K403">
        <v>298.83999999999997</v>
      </c>
      <c r="L403">
        <v>124.22</v>
      </c>
      <c r="M403" t="s">
        <v>24</v>
      </c>
      <c r="N403" t="str">
        <f t="shared" si="13"/>
        <v>OK</v>
      </c>
      <c r="O403" s="7" t="str">
        <f t="shared" si="14"/>
        <v>OK</v>
      </c>
    </row>
    <row r="404" spans="1:15">
      <c r="A404" t="s">
        <v>101</v>
      </c>
      <c r="B404" s="2">
        <v>45818</v>
      </c>
      <c r="C404" t="s">
        <v>102</v>
      </c>
      <c r="D404" t="s">
        <v>70</v>
      </c>
      <c r="E404" t="s">
        <v>35</v>
      </c>
      <c r="F404" t="s">
        <v>23</v>
      </c>
      <c r="G404">
        <v>5</v>
      </c>
      <c r="H404">
        <v>106.43</v>
      </c>
      <c r="I404">
        <v>0.2</v>
      </c>
      <c r="J404">
        <v>425.72</v>
      </c>
      <c r="K404">
        <v>243.77</v>
      </c>
      <c r="L404">
        <v>181.95</v>
      </c>
      <c r="M404" t="s">
        <v>31</v>
      </c>
      <c r="N404" t="str">
        <f t="shared" si="13"/>
        <v>OK</v>
      </c>
      <c r="O404" s="7" t="str">
        <f t="shared" si="14"/>
        <v>OK</v>
      </c>
    </row>
    <row r="405" spans="1:15">
      <c r="A405" t="s">
        <v>556</v>
      </c>
      <c r="B405" s="2">
        <v>45792</v>
      </c>
      <c r="C405" t="s">
        <v>414</v>
      </c>
      <c r="D405" t="s">
        <v>53</v>
      </c>
      <c r="E405" t="s">
        <v>42</v>
      </c>
      <c r="F405" t="s">
        <v>17</v>
      </c>
      <c r="G405">
        <v>4</v>
      </c>
      <c r="H405">
        <v>118.4</v>
      </c>
      <c r="I405">
        <v>0.1</v>
      </c>
      <c r="J405">
        <v>426.24</v>
      </c>
      <c r="K405">
        <v>307.08</v>
      </c>
      <c r="L405">
        <v>119.16</v>
      </c>
      <c r="M405" t="s">
        <v>31</v>
      </c>
      <c r="N405" t="str">
        <f t="shared" si="13"/>
        <v>OK</v>
      </c>
      <c r="O405" s="7" t="str">
        <f t="shared" si="14"/>
        <v>OK</v>
      </c>
    </row>
    <row r="406" spans="1:15">
      <c r="A406" t="s">
        <v>133</v>
      </c>
      <c r="B406" s="2">
        <v>45821</v>
      </c>
      <c r="C406" t="s">
        <v>127</v>
      </c>
      <c r="D406" t="s">
        <v>105</v>
      </c>
      <c r="E406" t="s">
        <v>42</v>
      </c>
      <c r="F406" t="s">
        <v>30</v>
      </c>
      <c r="G406">
        <v>3</v>
      </c>
      <c r="H406">
        <v>158.93</v>
      </c>
      <c r="I406">
        <v>0.1</v>
      </c>
      <c r="J406">
        <v>429.11</v>
      </c>
      <c r="K406">
        <v>339.45</v>
      </c>
      <c r="L406">
        <v>89.66</v>
      </c>
      <c r="M406" t="s">
        <v>18</v>
      </c>
      <c r="N406" t="str">
        <f t="shared" si="13"/>
        <v>OK</v>
      </c>
      <c r="O406" s="7" t="str">
        <f t="shared" si="14"/>
        <v>OK</v>
      </c>
    </row>
    <row r="407" spans="1:15">
      <c r="A407" t="s">
        <v>663</v>
      </c>
      <c r="B407" s="2">
        <v>45934</v>
      </c>
      <c r="C407" t="s">
        <v>379</v>
      </c>
      <c r="D407" t="s">
        <v>53</v>
      </c>
      <c r="E407" t="s">
        <v>42</v>
      </c>
      <c r="F407" t="s">
        <v>30</v>
      </c>
      <c r="G407">
        <v>3</v>
      </c>
      <c r="H407">
        <v>151.25</v>
      </c>
      <c r="I407">
        <v>0.05</v>
      </c>
      <c r="J407">
        <v>431.06</v>
      </c>
      <c r="K407">
        <v>348.77</v>
      </c>
      <c r="L407">
        <v>82.29</v>
      </c>
      <c r="M407" t="s">
        <v>18</v>
      </c>
      <c r="N407" t="str">
        <f t="shared" si="13"/>
        <v>OK</v>
      </c>
      <c r="O407" s="7" t="str">
        <f t="shared" si="14"/>
        <v>OK</v>
      </c>
    </row>
    <row r="408" spans="1:15">
      <c r="A408" t="s">
        <v>391</v>
      </c>
      <c r="B408" s="2">
        <v>45820</v>
      </c>
      <c r="C408" t="s">
        <v>220</v>
      </c>
      <c r="D408" t="s">
        <v>41</v>
      </c>
      <c r="E408" t="s">
        <v>42</v>
      </c>
      <c r="F408" t="s">
        <v>17</v>
      </c>
      <c r="G408">
        <v>3</v>
      </c>
      <c r="H408">
        <v>143.88999999999999</v>
      </c>
      <c r="I408">
        <v>0</v>
      </c>
      <c r="J408">
        <v>431.67</v>
      </c>
      <c r="K408">
        <v>247.9</v>
      </c>
      <c r="L408">
        <v>183.77</v>
      </c>
      <c r="M408" t="s">
        <v>31</v>
      </c>
      <c r="N408" t="str">
        <f t="shared" si="13"/>
        <v>OK</v>
      </c>
      <c r="O408" s="7" t="str">
        <f t="shared" si="14"/>
        <v>OK</v>
      </c>
    </row>
    <row r="409" spans="1:15">
      <c r="A409" t="s">
        <v>222</v>
      </c>
      <c r="B409" s="2">
        <v>45752</v>
      </c>
      <c r="C409" t="s">
        <v>94</v>
      </c>
      <c r="D409" t="s">
        <v>88</v>
      </c>
      <c r="E409" t="s">
        <v>16</v>
      </c>
      <c r="F409" t="s">
        <v>17</v>
      </c>
      <c r="G409">
        <v>5</v>
      </c>
      <c r="H409">
        <v>91.65</v>
      </c>
      <c r="I409">
        <v>0.05</v>
      </c>
      <c r="J409">
        <v>435.34</v>
      </c>
      <c r="K409">
        <v>340.25</v>
      </c>
      <c r="L409">
        <v>95.09</v>
      </c>
      <c r="M409" t="s">
        <v>18</v>
      </c>
      <c r="N409" t="str">
        <f t="shared" si="13"/>
        <v>OK</v>
      </c>
      <c r="O409" s="7" t="str">
        <f t="shared" si="14"/>
        <v>OK</v>
      </c>
    </row>
    <row r="410" spans="1:15">
      <c r="A410" t="s">
        <v>249</v>
      </c>
      <c r="B410" s="2">
        <v>45891</v>
      </c>
      <c r="C410" t="s">
        <v>20</v>
      </c>
      <c r="D410" t="s">
        <v>21</v>
      </c>
      <c r="E410" t="s">
        <v>22</v>
      </c>
      <c r="F410" t="s">
        <v>17</v>
      </c>
      <c r="G410">
        <v>4</v>
      </c>
      <c r="H410">
        <v>129.08000000000001</v>
      </c>
      <c r="I410">
        <v>0.15</v>
      </c>
      <c r="J410">
        <v>438.87</v>
      </c>
      <c r="K410">
        <v>323.64</v>
      </c>
      <c r="L410">
        <v>115.23</v>
      </c>
      <c r="M410" t="s">
        <v>18</v>
      </c>
      <c r="N410" t="str">
        <f t="shared" si="13"/>
        <v>OK</v>
      </c>
      <c r="O410" s="7" t="str">
        <f t="shared" si="14"/>
        <v>OK</v>
      </c>
    </row>
    <row r="411" spans="1:15">
      <c r="A411" t="s">
        <v>658</v>
      </c>
      <c r="B411" s="2">
        <v>45961</v>
      </c>
      <c r="C411" t="s">
        <v>131</v>
      </c>
      <c r="D411" t="s">
        <v>45</v>
      </c>
      <c r="E411" t="s">
        <v>22</v>
      </c>
      <c r="F411" t="s">
        <v>36</v>
      </c>
      <c r="G411">
        <v>3</v>
      </c>
      <c r="H411">
        <v>154.06</v>
      </c>
      <c r="I411">
        <v>0.05</v>
      </c>
      <c r="J411">
        <v>439.07</v>
      </c>
      <c r="K411">
        <v>243.29</v>
      </c>
      <c r="L411">
        <v>195.78</v>
      </c>
      <c r="M411" t="s">
        <v>24</v>
      </c>
      <c r="N411" t="str">
        <f t="shared" si="13"/>
        <v>OK</v>
      </c>
      <c r="O411" s="7" t="str">
        <f t="shared" si="14"/>
        <v>OK</v>
      </c>
    </row>
    <row r="412" spans="1:15">
      <c r="A412" t="s">
        <v>292</v>
      </c>
      <c r="B412" s="2">
        <v>45918</v>
      </c>
      <c r="C412" t="s">
        <v>79</v>
      </c>
      <c r="D412" t="s">
        <v>70</v>
      </c>
      <c r="E412" t="s">
        <v>35</v>
      </c>
      <c r="F412" t="s">
        <v>17</v>
      </c>
      <c r="G412">
        <v>3</v>
      </c>
      <c r="H412">
        <v>172.37</v>
      </c>
      <c r="I412">
        <v>0.15</v>
      </c>
      <c r="J412">
        <v>439.54</v>
      </c>
      <c r="K412">
        <v>348.49</v>
      </c>
      <c r="L412">
        <v>91.05</v>
      </c>
      <c r="M412" t="s">
        <v>18</v>
      </c>
      <c r="N412" t="str">
        <f t="shared" si="13"/>
        <v>OK</v>
      </c>
      <c r="O412" s="7" t="str">
        <f t="shared" si="14"/>
        <v>OK</v>
      </c>
    </row>
    <row r="413" spans="1:15">
      <c r="A413" t="s">
        <v>339</v>
      </c>
      <c r="B413" s="2">
        <v>45685</v>
      </c>
      <c r="C413" t="s">
        <v>220</v>
      </c>
      <c r="D413" t="s">
        <v>88</v>
      </c>
      <c r="E413" t="s">
        <v>16</v>
      </c>
      <c r="F413" t="s">
        <v>17</v>
      </c>
      <c r="G413">
        <v>4</v>
      </c>
      <c r="H413">
        <v>109.99</v>
      </c>
      <c r="I413">
        <v>0</v>
      </c>
      <c r="J413">
        <v>439.96</v>
      </c>
      <c r="K413">
        <v>293.60000000000002</v>
      </c>
      <c r="L413">
        <v>146.36000000000001</v>
      </c>
      <c r="M413" t="s">
        <v>18</v>
      </c>
      <c r="N413" t="str">
        <f t="shared" si="13"/>
        <v>OK</v>
      </c>
      <c r="O413" s="7" t="str">
        <f t="shared" si="14"/>
        <v>OK</v>
      </c>
    </row>
    <row r="414" spans="1:15">
      <c r="A414" t="s">
        <v>602</v>
      </c>
      <c r="B414" s="2">
        <v>45785</v>
      </c>
      <c r="C414" t="s">
        <v>174</v>
      </c>
      <c r="D414" t="s">
        <v>70</v>
      </c>
      <c r="E414" t="s">
        <v>35</v>
      </c>
      <c r="F414" t="s">
        <v>30</v>
      </c>
      <c r="G414">
        <v>4</v>
      </c>
      <c r="H414">
        <v>123.49</v>
      </c>
      <c r="I414">
        <v>0.1</v>
      </c>
      <c r="J414">
        <v>444.56</v>
      </c>
      <c r="K414">
        <v>271.05</v>
      </c>
      <c r="L414">
        <v>173.51</v>
      </c>
      <c r="M414" t="s">
        <v>18</v>
      </c>
      <c r="N414" t="str">
        <f t="shared" si="13"/>
        <v>OK</v>
      </c>
      <c r="O414" s="7" t="str">
        <f t="shared" si="14"/>
        <v>OK</v>
      </c>
    </row>
    <row r="415" spans="1:15">
      <c r="A415" t="s">
        <v>559</v>
      </c>
      <c r="B415" s="2">
        <v>45935</v>
      </c>
      <c r="C415" t="s">
        <v>303</v>
      </c>
      <c r="D415" t="s">
        <v>21</v>
      </c>
      <c r="E415" t="s">
        <v>22</v>
      </c>
      <c r="F415" t="s">
        <v>17</v>
      </c>
      <c r="G415">
        <v>5</v>
      </c>
      <c r="H415">
        <v>99.29</v>
      </c>
      <c r="I415">
        <v>0.1</v>
      </c>
      <c r="J415">
        <v>446.81</v>
      </c>
      <c r="K415">
        <v>332.15</v>
      </c>
      <c r="L415">
        <v>114.66</v>
      </c>
      <c r="M415" t="s">
        <v>24</v>
      </c>
      <c r="N415" t="str">
        <f t="shared" si="13"/>
        <v>OK</v>
      </c>
      <c r="O415" s="7" t="str">
        <f t="shared" si="14"/>
        <v>OK</v>
      </c>
    </row>
    <row r="416" spans="1:15">
      <c r="A416" t="s">
        <v>648</v>
      </c>
      <c r="B416" s="2">
        <v>45926</v>
      </c>
      <c r="C416" t="s">
        <v>419</v>
      </c>
      <c r="D416" t="s">
        <v>77</v>
      </c>
      <c r="E416" t="s">
        <v>22</v>
      </c>
      <c r="F416" t="s">
        <v>36</v>
      </c>
      <c r="G416">
        <v>5</v>
      </c>
      <c r="H416">
        <v>101.16</v>
      </c>
      <c r="I416">
        <v>0.1</v>
      </c>
      <c r="J416">
        <v>455.22</v>
      </c>
      <c r="K416">
        <v>292.27999999999997</v>
      </c>
      <c r="L416">
        <v>162.94</v>
      </c>
      <c r="M416" t="s">
        <v>31</v>
      </c>
      <c r="N416" t="str">
        <f t="shared" si="13"/>
        <v>OK</v>
      </c>
      <c r="O416" s="7" t="str">
        <f t="shared" si="14"/>
        <v>OK</v>
      </c>
    </row>
    <row r="417" spans="1:15">
      <c r="A417" t="s">
        <v>203</v>
      </c>
      <c r="B417" s="2">
        <v>45932</v>
      </c>
      <c r="C417" t="s">
        <v>204</v>
      </c>
      <c r="D417" t="s">
        <v>77</v>
      </c>
      <c r="E417" t="s">
        <v>22</v>
      </c>
      <c r="F417" t="s">
        <v>30</v>
      </c>
      <c r="G417">
        <v>3</v>
      </c>
      <c r="H417">
        <v>152.24</v>
      </c>
      <c r="I417">
        <v>0</v>
      </c>
      <c r="J417">
        <v>456.72</v>
      </c>
      <c r="K417">
        <v>383.83</v>
      </c>
      <c r="L417">
        <v>72.89</v>
      </c>
      <c r="M417" t="s">
        <v>24</v>
      </c>
      <c r="N417" t="str">
        <f t="shared" si="13"/>
        <v>OK</v>
      </c>
      <c r="O417" s="7" t="str">
        <f t="shared" si="14"/>
        <v>OK</v>
      </c>
    </row>
    <row r="418" spans="1:15">
      <c r="A418" t="s">
        <v>493</v>
      </c>
      <c r="B418" s="2">
        <v>45849</v>
      </c>
      <c r="C418" t="s">
        <v>278</v>
      </c>
      <c r="D418" t="s">
        <v>61</v>
      </c>
      <c r="E418" t="s">
        <v>42</v>
      </c>
      <c r="F418" t="s">
        <v>36</v>
      </c>
      <c r="G418">
        <v>3</v>
      </c>
      <c r="H418">
        <v>153.16</v>
      </c>
      <c r="I418">
        <v>0</v>
      </c>
      <c r="J418">
        <v>459.48</v>
      </c>
      <c r="K418">
        <v>316.52</v>
      </c>
      <c r="L418">
        <v>142.96</v>
      </c>
      <c r="M418" t="s">
        <v>31</v>
      </c>
      <c r="N418" t="str">
        <f t="shared" si="13"/>
        <v>OK</v>
      </c>
      <c r="O418" s="7" t="str">
        <f t="shared" si="14"/>
        <v>OK</v>
      </c>
    </row>
    <row r="419" spans="1:15">
      <c r="A419" t="s">
        <v>488</v>
      </c>
      <c r="B419" s="2">
        <v>45695</v>
      </c>
      <c r="C419" t="s">
        <v>204</v>
      </c>
      <c r="D419" t="s">
        <v>88</v>
      </c>
      <c r="E419" t="s">
        <v>16</v>
      </c>
      <c r="F419" t="s">
        <v>30</v>
      </c>
      <c r="G419">
        <v>3</v>
      </c>
      <c r="H419">
        <v>161.51</v>
      </c>
      <c r="I419">
        <v>0.05</v>
      </c>
      <c r="J419">
        <v>460.3</v>
      </c>
      <c r="K419">
        <v>337</v>
      </c>
      <c r="L419">
        <v>123.3</v>
      </c>
      <c r="M419" t="s">
        <v>18</v>
      </c>
      <c r="N419" t="str">
        <f t="shared" si="13"/>
        <v>OK</v>
      </c>
      <c r="O419" s="7" t="str">
        <f t="shared" si="14"/>
        <v>OK</v>
      </c>
    </row>
    <row r="420" spans="1:15">
      <c r="A420" t="s">
        <v>115</v>
      </c>
      <c r="B420" s="2">
        <v>46007</v>
      </c>
      <c r="C420" t="s">
        <v>116</v>
      </c>
      <c r="D420" t="s">
        <v>29</v>
      </c>
      <c r="E420" t="s">
        <v>22</v>
      </c>
      <c r="F420" t="s">
        <v>17</v>
      </c>
      <c r="G420">
        <v>4</v>
      </c>
      <c r="H420">
        <v>115.14</v>
      </c>
      <c r="I420">
        <v>0</v>
      </c>
      <c r="J420">
        <v>460.56</v>
      </c>
      <c r="K420">
        <v>260.45</v>
      </c>
      <c r="L420">
        <v>200.11</v>
      </c>
      <c r="M420" t="s">
        <v>24</v>
      </c>
      <c r="N420" t="str">
        <f t="shared" si="13"/>
        <v>OK</v>
      </c>
      <c r="O420" s="7" t="str">
        <f t="shared" si="14"/>
        <v>OK</v>
      </c>
    </row>
    <row r="421" spans="1:15">
      <c r="A421" t="s">
        <v>319</v>
      </c>
      <c r="B421" s="2">
        <v>46010</v>
      </c>
      <c r="C421" t="s">
        <v>74</v>
      </c>
      <c r="D421" t="s">
        <v>21</v>
      </c>
      <c r="E421" t="s">
        <v>22</v>
      </c>
      <c r="F421" t="s">
        <v>30</v>
      </c>
      <c r="G421">
        <v>4</v>
      </c>
      <c r="H421">
        <v>128.82</v>
      </c>
      <c r="I421">
        <v>0.1</v>
      </c>
      <c r="J421">
        <v>463.75</v>
      </c>
      <c r="K421">
        <v>256.42</v>
      </c>
      <c r="L421">
        <v>207.33</v>
      </c>
      <c r="M421" t="s">
        <v>24</v>
      </c>
      <c r="N421" t="str">
        <f t="shared" si="13"/>
        <v>OK</v>
      </c>
      <c r="O421" s="7" t="str">
        <f t="shared" si="14"/>
        <v>OK</v>
      </c>
    </row>
    <row r="422" spans="1:15">
      <c r="A422" t="s">
        <v>402</v>
      </c>
      <c r="B422" s="2">
        <v>45965</v>
      </c>
      <c r="C422" t="s">
        <v>72</v>
      </c>
      <c r="D422" t="s">
        <v>21</v>
      </c>
      <c r="E422" t="s">
        <v>22</v>
      </c>
      <c r="F422" t="s">
        <v>23</v>
      </c>
      <c r="G422">
        <v>4</v>
      </c>
      <c r="H422">
        <v>116.91</v>
      </c>
      <c r="I422">
        <v>0</v>
      </c>
      <c r="J422">
        <v>467.64</v>
      </c>
      <c r="K422">
        <v>289.83999999999997</v>
      </c>
      <c r="L422">
        <v>177.8</v>
      </c>
      <c r="M422" t="s">
        <v>24</v>
      </c>
      <c r="N422" t="str">
        <f t="shared" si="13"/>
        <v>OK</v>
      </c>
      <c r="O422" s="7" t="str">
        <f t="shared" si="14"/>
        <v>OK</v>
      </c>
    </row>
    <row r="423" spans="1:15">
      <c r="A423" t="s">
        <v>593</v>
      </c>
      <c r="B423" s="2">
        <v>45928</v>
      </c>
      <c r="C423" t="s">
        <v>125</v>
      </c>
      <c r="D423" t="s">
        <v>88</v>
      </c>
      <c r="E423" t="s">
        <v>16</v>
      </c>
      <c r="F423" t="s">
        <v>23</v>
      </c>
      <c r="G423">
        <v>4</v>
      </c>
      <c r="H423">
        <v>123.42</v>
      </c>
      <c r="I423">
        <v>0.05</v>
      </c>
      <c r="J423">
        <v>469</v>
      </c>
      <c r="K423">
        <v>335.24</v>
      </c>
      <c r="L423">
        <v>133.76</v>
      </c>
      <c r="M423" t="s">
        <v>18</v>
      </c>
      <c r="N423" t="str">
        <f t="shared" si="13"/>
        <v>OK</v>
      </c>
      <c r="O423" s="7" t="str">
        <f t="shared" si="14"/>
        <v>OK</v>
      </c>
    </row>
    <row r="424" spans="1:15">
      <c r="A424" t="s">
        <v>641</v>
      </c>
      <c r="B424" s="2">
        <v>45992</v>
      </c>
      <c r="C424" t="s">
        <v>204</v>
      </c>
      <c r="D424" t="s">
        <v>15</v>
      </c>
      <c r="E424" t="s">
        <v>16</v>
      </c>
      <c r="F424" t="s">
        <v>23</v>
      </c>
      <c r="G424">
        <v>4</v>
      </c>
      <c r="H424">
        <v>119.51</v>
      </c>
      <c r="I424">
        <v>0</v>
      </c>
      <c r="J424">
        <v>478.04</v>
      </c>
      <c r="K424">
        <v>316.77</v>
      </c>
      <c r="L424">
        <v>161.27000000000001</v>
      </c>
      <c r="M424" t="s">
        <v>31</v>
      </c>
      <c r="N424" t="str">
        <f t="shared" si="13"/>
        <v>OK</v>
      </c>
      <c r="O424" s="7" t="str">
        <f t="shared" si="14"/>
        <v>OK</v>
      </c>
    </row>
    <row r="425" spans="1:15">
      <c r="A425" t="s">
        <v>430</v>
      </c>
      <c r="B425" s="2">
        <v>45711</v>
      </c>
      <c r="C425" t="s">
        <v>268</v>
      </c>
      <c r="D425" t="s">
        <v>48</v>
      </c>
      <c r="E425" t="s">
        <v>35</v>
      </c>
      <c r="F425" t="s">
        <v>30</v>
      </c>
      <c r="G425">
        <v>5</v>
      </c>
      <c r="H425">
        <v>100.66</v>
      </c>
      <c r="I425">
        <v>0.05</v>
      </c>
      <c r="J425">
        <v>478.13</v>
      </c>
      <c r="K425">
        <v>384.61</v>
      </c>
      <c r="L425">
        <v>93.52</v>
      </c>
      <c r="M425" t="s">
        <v>18</v>
      </c>
      <c r="N425" t="str">
        <f t="shared" si="13"/>
        <v>OK</v>
      </c>
      <c r="O425" s="7" t="str">
        <f t="shared" si="14"/>
        <v>OK</v>
      </c>
    </row>
    <row r="426" spans="1:15">
      <c r="A426" t="s">
        <v>612</v>
      </c>
      <c r="B426" s="2">
        <v>45987</v>
      </c>
      <c r="C426" t="s">
        <v>240</v>
      </c>
      <c r="D426" t="s">
        <v>110</v>
      </c>
      <c r="E426" t="s">
        <v>35</v>
      </c>
      <c r="F426" t="s">
        <v>17</v>
      </c>
      <c r="G426">
        <v>4</v>
      </c>
      <c r="H426">
        <v>132.82</v>
      </c>
      <c r="I426">
        <v>0.1</v>
      </c>
      <c r="J426">
        <v>478.15</v>
      </c>
      <c r="K426">
        <v>369.05</v>
      </c>
      <c r="L426">
        <v>109.1</v>
      </c>
      <c r="M426" t="s">
        <v>18</v>
      </c>
      <c r="N426" t="str">
        <f t="shared" si="13"/>
        <v>OK</v>
      </c>
      <c r="O426" s="7" t="str">
        <f t="shared" si="14"/>
        <v>OK</v>
      </c>
    </row>
    <row r="427" spans="1:15">
      <c r="A427" t="s">
        <v>613</v>
      </c>
      <c r="B427" s="2">
        <v>45750</v>
      </c>
      <c r="C427" t="s">
        <v>50</v>
      </c>
      <c r="D427" t="s">
        <v>41</v>
      </c>
      <c r="E427" t="s">
        <v>42</v>
      </c>
      <c r="F427" t="s">
        <v>30</v>
      </c>
      <c r="G427">
        <v>3</v>
      </c>
      <c r="H427">
        <v>161.09</v>
      </c>
      <c r="I427">
        <v>0</v>
      </c>
      <c r="J427">
        <v>483.27</v>
      </c>
      <c r="K427">
        <v>382.83</v>
      </c>
      <c r="L427">
        <v>100.44</v>
      </c>
      <c r="M427" t="s">
        <v>24</v>
      </c>
      <c r="N427" t="str">
        <f t="shared" si="13"/>
        <v>OK</v>
      </c>
      <c r="O427" s="7" t="str">
        <f t="shared" si="14"/>
        <v>OK</v>
      </c>
    </row>
    <row r="428" spans="1:15">
      <c r="A428" t="s">
        <v>261</v>
      </c>
      <c r="B428" s="2">
        <v>45969</v>
      </c>
      <c r="C428" t="s">
        <v>92</v>
      </c>
      <c r="D428" t="s">
        <v>15</v>
      </c>
      <c r="E428" t="s">
        <v>16</v>
      </c>
      <c r="F428" t="s">
        <v>36</v>
      </c>
      <c r="G428">
        <v>3</v>
      </c>
      <c r="H428">
        <v>171.28</v>
      </c>
      <c r="I428">
        <v>0.05</v>
      </c>
      <c r="J428">
        <v>488.15</v>
      </c>
      <c r="K428">
        <v>408.2</v>
      </c>
      <c r="L428">
        <v>79.95</v>
      </c>
      <c r="M428" t="s">
        <v>31</v>
      </c>
      <c r="N428" t="str">
        <f t="shared" si="13"/>
        <v>OK</v>
      </c>
      <c r="O428" s="7" t="str">
        <f t="shared" si="14"/>
        <v>OK</v>
      </c>
    </row>
    <row r="429" spans="1:15">
      <c r="A429" t="s">
        <v>660</v>
      </c>
      <c r="B429" s="2">
        <v>45828</v>
      </c>
      <c r="C429" t="s">
        <v>454</v>
      </c>
      <c r="D429" t="s">
        <v>70</v>
      </c>
      <c r="E429" t="s">
        <v>35</v>
      </c>
      <c r="F429" t="s">
        <v>30</v>
      </c>
      <c r="G429">
        <v>5</v>
      </c>
      <c r="H429">
        <v>108.95</v>
      </c>
      <c r="I429">
        <v>0.1</v>
      </c>
      <c r="J429">
        <v>490.28</v>
      </c>
      <c r="K429">
        <v>415.37</v>
      </c>
      <c r="L429">
        <v>74.91</v>
      </c>
      <c r="M429" t="s">
        <v>18</v>
      </c>
      <c r="N429" t="str">
        <f t="shared" si="13"/>
        <v>OK</v>
      </c>
      <c r="O429" s="7" t="str">
        <f t="shared" si="14"/>
        <v>OK</v>
      </c>
    </row>
    <row r="430" spans="1:15">
      <c r="A430" t="s">
        <v>543</v>
      </c>
      <c r="B430" s="2">
        <v>45973</v>
      </c>
      <c r="C430" t="s">
        <v>118</v>
      </c>
      <c r="D430" t="s">
        <v>29</v>
      </c>
      <c r="E430" t="s">
        <v>22</v>
      </c>
      <c r="F430" t="s">
        <v>17</v>
      </c>
      <c r="G430">
        <v>4</v>
      </c>
      <c r="H430">
        <v>124.12</v>
      </c>
      <c r="I430">
        <v>0</v>
      </c>
      <c r="J430">
        <v>496.48</v>
      </c>
      <c r="K430">
        <v>279.36</v>
      </c>
      <c r="L430">
        <v>217.12</v>
      </c>
      <c r="M430" t="s">
        <v>31</v>
      </c>
      <c r="N430" t="str">
        <f t="shared" si="13"/>
        <v>OK</v>
      </c>
      <c r="O430" s="7" t="str">
        <f t="shared" si="14"/>
        <v>OK</v>
      </c>
    </row>
    <row r="431" spans="1:15">
      <c r="A431" t="s">
        <v>489</v>
      </c>
      <c r="B431" s="2">
        <v>45724</v>
      </c>
      <c r="C431" t="s">
        <v>63</v>
      </c>
      <c r="D431" t="s">
        <v>34</v>
      </c>
      <c r="E431" t="s">
        <v>35</v>
      </c>
      <c r="F431" t="s">
        <v>23</v>
      </c>
      <c r="G431">
        <v>4</v>
      </c>
      <c r="H431">
        <v>124.35</v>
      </c>
      <c r="I431">
        <v>0</v>
      </c>
      <c r="J431">
        <v>497.4</v>
      </c>
      <c r="K431">
        <v>308.52</v>
      </c>
      <c r="L431">
        <v>188.88</v>
      </c>
      <c r="M431" t="s">
        <v>24</v>
      </c>
      <c r="N431" t="str">
        <f t="shared" si="13"/>
        <v>OK</v>
      </c>
      <c r="O431" s="7" t="str">
        <f t="shared" si="14"/>
        <v>OK</v>
      </c>
    </row>
    <row r="432" spans="1:15">
      <c r="A432" t="s">
        <v>635</v>
      </c>
      <c r="B432" s="2">
        <v>45952</v>
      </c>
      <c r="C432" t="s">
        <v>138</v>
      </c>
      <c r="D432" t="s">
        <v>110</v>
      </c>
      <c r="E432" t="s">
        <v>35</v>
      </c>
      <c r="F432" t="s">
        <v>23</v>
      </c>
      <c r="G432">
        <v>5</v>
      </c>
      <c r="H432">
        <v>99.59</v>
      </c>
      <c r="I432">
        <v>0</v>
      </c>
      <c r="J432">
        <v>497.95</v>
      </c>
      <c r="K432">
        <v>364.35</v>
      </c>
      <c r="L432">
        <v>133.6</v>
      </c>
      <c r="M432" t="s">
        <v>31</v>
      </c>
      <c r="N432" t="str">
        <f t="shared" si="13"/>
        <v>OK</v>
      </c>
      <c r="O432" s="7" t="str">
        <f t="shared" si="14"/>
        <v>OK</v>
      </c>
    </row>
    <row r="433" spans="1:15">
      <c r="A433" t="s">
        <v>384</v>
      </c>
      <c r="B433" s="2">
        <v>46017</v>
      </c>
      <c r="C433" t="s">
        <v>385</v>
      </c>
      <c r="D433" t="s">
        <v>29</v>
      </c>
      <c r="E433" t="s">
        <v>22</v>
      </c>
      <c r="F433" t="s">
        <v>30</v>
      </c>
      <c r="G433">
        <v>3</v>
      </c>
      <c r="H433">
        <v>167.47</v>
      </c>
      <c r="I433">
        <v>0</v>
      </c>
      <c r="J433">
        <v>502.41</v>
      </c>
      <c r="K433">
        <v>336.51</v>
      </c>
      <c r="L433">
        <v>165.9</v>
      </c>
      <c r="M433" t="s">
        <v>31</v>
      </c>
      <c r="N433" t="str">
        <f t="shared" si="13"/>
        <v>OK</v>
      </c>
      <c r="O433" s="7" t="str">
        <f t="shared" si="14"/>
        <v>OK</v>
      </c>
    </row>
    <row r="434" spans="1:15">
      <c r="A434" t="s">
        <v>62</v>
      </c>
      <c r="B434" s="2">
        <v>45900</v>
      </c>
      <c r="C434" t="s">
        <v>63</v>
      </c>
      <c r="D434" t="s">
        <v>34</v>
      </c>
      <c r="E434" t="s">
        <v>35</v>
      </c>
      <c r="F434" t="s">
        <v>23</v>
      </c>
      <c r="G434">
        <v>5</v>
      </c>
      <c r="H434">
        <v>100.85</v>
      </c>
      <c r="I434">
        <v>0</v>
      </c>
      <c r="J434">
        <v>504.25</v>
      </c>
      <c r="K434">
        <v>419.97</v>
      </c>
      <c r="L434">
        <v>84.28</v>
      </c>
      <c r="M434" t="s">
        <v>18</v>
      </c>
      <c r="N434" t="str">
        <f t="shared" si="13"/>
        <v>OK</v>
      </c>
      <c r="O434" s="7" t="str">
        <f t="shared" si="14"/>
        <v>OK</v>
      </c>
    </row>
    <row r="435" spans="1:15">
      <c r="A435" t="s">
        <v>588</v>
      </c>
      <c r="B435" s="2">
        <v>45859</v>
      </c>
      <c r="C435" t="s">
        <v>397</v>
      </c>
      <c r="D435" t="s">
        <v>15</v>
      </c>
      <c r="E435" t="s">
        <v>16</v>
      </c>
      <c r="F435" t="s">
        <v>17</v>
      </c>
      <c r="G435">
        <v>5</v>
      </c>
      <c r="H435">
        <v>101.31</v>
      </c>
      <c r="I435">
        <v>0</v>
      </c>
      <c r="J435">
        <v>506.55</v>
      </c>
      <c r="K435">
        <v>336.45</v>
      </c>
      <c r="L435">
        <v>170.1</v>
      </c>
      <c r="M435" t="s">
        <v>18</v>
      </c>
      <c r="N435" t="str">
        <f t="shared" si="13"/>
        <v>OK</v>
      </c>
      <c r="O435" s="7" t="str">
        <f t="shared" si="14"/>
        <v>OK</v>
      </c>
    </row>
    <row r="436" spans="1:15">
      <c r="A436" t="s">
        <v>653</v>
      </c>
      <c r="B436" s="2">
        <v>45822</v>
      </c>
      <c r="C436" t="s">
        <v>112</v>
      </c>
      <c r="D436" t="s">
        <v>139</v>
      </c>
      <c r="E436" t="s">
        <v>16</v>
      </c>
      <c r="F436" t="s">
        <v>36</v>
      </c>
      <c r="G436">
        <v>4</v>
      </c>
      <c r="H436">
        <v>141.07</v>
      </c>
      <c r="I436">
        <v>0.1</v>
      </c>
      <c r="J436">
        <v>507.85</v>
      </c>
      <c r="K436">
        <v>302.26</v>
      </c>
      <c r="L436">
        <v>205.59</v>
      </c>
      <c r="M436" t="s">
        <v>18</v>
      </c>
      <c r="N436" t="str">
        <f t="shared" si="13"/>
        <v>OK</v>
      </c>
      <c r="O436" s="7" t="str">
        <f t="shared" si="14"/>
        <v>OK</v>
      </c>
    </row>
    <row r="437" spans="1:15">
      <c r="A437" t="s">
        <v>134</v>
      </c>
      <c r="B437" s="2">
        <v>45925</v>
      </c>
      <c r="C437" t="s">
        <v>135</v>
      </c>
      <c r="D437" t="s">
        <v>48</v>
      </c>
      <c r="E437" t="s">
        <v>35</v>
      </c>
      <c r="F437" t="s">
        <v>17</v>
      </c>
      <c r="G437">
        <v>3</v>
      </c>
      <c r="H437">
        <v>178.37</v>
      </c>
      <c r="I437">
        <v>0.05</v>
      </c>
      <c r="J437">
        <v>508.35</v>
      </c>
      <c r="K437">
        <v>336.33</v>
      </c>
      <c r="L437">
        <v>172.02</v>
      </c>
      <c r="M437" t="s">
        <v>31</v>
      </c>
      <c r="N437" t="str">
        <f t="shared" si="13"/>
        <v>OK</v>
      </c>
      <c r="O437" s="7" t="str">
        <f t="shared" si="14"/>
        <v>OK</v>
      </c>
    </row>
    <row r="438" spans="1:15">
      <c r="A438" t="s">
        <v>652</v>
      </c>
      <c r="B438" s="2">
        <v>45864</v>
      </c>
      <c r="C438" t="s">
        <v>60</v>
      </c>
      <c r="D438" t="s">
        <v>41</v>
      </c>
      <c r="E438" t="s">
        <v>42</v>
      </c>
      <c r="F438" t="s">
        <v>23</v>
      </c>
      <c r="G438">
        <v>5</v>
      </c>
      <c r="H438">
        <v>120.61</v>
      </c>
      <c r="I438">
        <v>0.15</v>
      </c>
      <c r="J438">
        <v>512.59</v>
      </c>
      <c r="K438">
        <v>291.63</v>
      </c>
      <c r="L438">
        <v>220.96</v>
      </c>
      <c r="M438" t="s">
        <v>31</v>
      </c>
      <c r="N438" t="str">
        <f t="shared" si="13"/>
        <v>OK</v>
      </c>
      <c r="O438" s="7" t="str">
        <f t="shared" si="14"/>
        <v>OK</v>
      </c>
    </row>
    <row r="439" spans="1:15">
      <c r="A439" t="s">
        <v>243</v>
      </c>
      <c r="B439" s="2">
        <v>45904</v>
      </c>
      <c r="C439" t="s">
        <v>102</v>
      </c>
      <c r="D439" t="s">
        <v>139</v>
      </c>
      <c r="E439" t="s">
        <v>16</v>
      </c>
      <c r="F439" t="s">
        <v>23</v>
      </c>
      <c r="G439">
        <v>4</v>
      </c>
      <c r="H439">
        <v>152.44</v>
      </c>
      <c r="I439">
        <v>0.15</v>
      </c>
      <c r="J439">
        <v>518.29999999999995</v>
      </c>
      <c r="K439">
        <v>348.5</v>
      </c>
      <c r="L439">
        <v>169.8</v>
      </c>
      <c r="M439" t="s">
        <v>18</v>
      </c>
      <c r="N439" t="str">
        <f t="shared" si="13"/>
        <v>OK</v>
      </c>
      <c r="O439" s="7" t="str">
        <f t="shared" si="14"/>
        <v>OK</v>
      </c>
    </row>
    <row r="440" spans="1:15">
      <c r="A440" t="s">
        <v>426</v>
      </c>
      <c r="B440" s="2">
        <v>45680</v>
      </c>
      <c r="C440" t="s">
        <v>427</v>
      </c>
      <c r="D440" t="s">
        <v>53</v>
      </c>
      <c r="E440" t="s">
        <v>42</v>
      </c>
      <c r="F440" t="s">
        <v>36</v>
      </c>
      <c r="G440">
        <v>5</v>
      </c>
      <c r="H440">
        <v>109.54</v>
      </c>
      <c r="I440">
        <v>0.05</v>
      </c>
      <c r="J440">
        <v>520.32000000000005</v>
      </c>
      <c r="K440">
        <v>332.62</v>
      </c>
      <c r="L440">
        <v>187.7</v>
      </c>
      <c r="M440" t="s">
        <v>18</v>
      </c>
      <c r="N440" t="str">
        <f t="shared" si="13"/>
        <v>OK</v>
      </c>
      <c r="O440" s="7" t="str">
        <f t="shared" si="14"/>
        <v>OK</v>
      </c>
    </row>
    <row r="441" spans="1:15">
      <c r="A441" t="s">
        <v>372</v>
      </c>
      <c r="B441" s="2">
        <v>45735</v>
      </c>
      <c r="C441" t="s">
        <v>206</v>
      </c>
      <c r="D441" t="s">
        <v>70</v>
      </c>
      <c r="E441" t="s">
        <v>35</v>
      </c>
      <c r="F441" t="s">
        <v>30</v>
      </c>
      <c r="G441">
        <v>5</v>
      </c>
      <c r="H441">
        <v>118.42</v>
      </c>
      <c r="I441">
        <v>0.1</v>
      </c>
      <c r="J441">
        <v>532.89</v>
      </c>
      <c r="K441">
        <v>380.49</v>
      </c>
      <c r="L441">
        <v>152.4</v>
      </c>
      <c r="M441" t="s">
        <v>18</v>
      </c>
      <c r="N441" t="str">
        <f t="shared" si="13"/>
        <v>OK</v>
      </c>
      <c r="O441" s="7" t="str">
        <f t="shared" si="14"/>
        <v>OK</v>
      </c>
    </row>
    <row r="442" spans="1:15">
      <c r="A442" t="s">
        <v>441</v>
      </c>
      <c r="B442" s="2">
        <v>45692</v>
      </c>
      <c r="C442" t="s">
        <v>187</v>
      </c>
      <c r="D442" t="s">
        <v>41</v>
      </c>
      <c r="E442" t="s">
        <v>42</v>
      </c>
      <c r="F442" t="s">
        <v>36</v>
      </c>
      <c r="G442">
        <v>5</v>
      </c>
      <c r="H442">
        <v>128</v>
      </c>
      <c r="I442">
        <v>0.15</v>
      </c>
      <c r="J442">
        <v>544</v>
      </c>
      <c r="K442">
        <v>426.92</v>
      </c>
      <c r="L442">
        <v>117.08</v>
      </c>
      <c r="M442" t="s">
        <v>18</v>
      </c>
      <c r="N442" t="str">
        <f t="shared" si="13"/>
        <v>OK</v>
      </c>
      <c r="O442" s="7" t="str">
        <f t="shared" si="14"/>
        <v>OK</v>
      </c>
    </row>
    <row r="443" spans="1:15">
      <c r="A443" t="s">
        <v>305</v>
      </c>
      <c r="B443" s="2">
        <v>45690</v>
      </c>
      <c r="C443" t="s">
        <v>154</v>
      </c>
      <c r="D443" t="s">
        <v>88</v>
      </c>
      <c r="E443" t="s">
        <v>16</v>
      </c>
      <c r="F443" t="s">
        <v>17</v>
      </c>
      <c r="G443">
        <v>4</v>
      </c>
      <c r="H443">
        <v>136.94</v>
      </c>
      <c r="I443">
        <v>0</v>
      </c>
      <c r="J443">
        <v>547.76</v>
      </c>
      <c r="K443">
        <v>425.87</v>
      </c>
      <c r="L443">
        <v>121.89</v>
      </c>
      <c r="M443" t="s">
        <v>31</v>
      </c>
      <c r="N443" t="str">
        <f t="shared" si="13"/>
        <v>OK</v>
      </c>
      <c r="O443" s="7" t="str">
        <f t="shared" si="14"/>
        <v>OK</v>
      </c>
    </row>
    <row r="444" spans="1:15">
      <c r="A444" t="s">
        <v>244</v>
      </c>
      <c r="B444" s="2">
        <v>45754</v>
      </c>
      <c r="C444" t="s">
        <v>245</v>
      </c>
      <c r="D444" t="s">
        <v>139</v>
      </c>
      <c r="E444" t="s">
        <v>16</v>
      </c>
      <c r="F444" t="s">
        <v>17</v>
      </c>
      <c r="G444">
        <v>5</v>
      </c>
      <c r="H444">
        <v>110.35</v>
      </c>
      <c r="I444">
        <v>0</v>
      </c>
      <c r="J444">
        <v>551.75</v>
      </c>
      <c r="K444">
        <v>397.72</v>
      </c>
      <c r="L444">
        <v>154.03</v>
      </c>
      <c r="M444" t="s">
        <v>18</v>
      </c>
      <c r="N444" t="str">
        <f t="shared" si="13"/>
        <v>OK</v>
      </c>
      <c r="O444" s="7" t="str">
        <f t="shared" si="14"/>
        <v>OK</v>
      </c>
    </row>
    <row r="445" spans="1:15">
      <c r="A445" t="s">
        <v>353</v>
      </c>
      <c r="B445" s="2">
        <v>45849</v>
      </c>
      <c r="C445" t="s">
        <v>112</v>
      </c>
      <c r="D445" t="s">
        <v>77</v>
      </c>
      <c r="E445" t="s">
        <v>22</v>
      </c>
      <c r="F445" t="s">
        <v>30</v>
      </c>
      <c r="G445">
        <v>5</v>
      </c>
      <c r="H445">
        <v>122.72</v>
      </c>
      <c r="I445">
        <v>0.1</v>
      </c>
      <c r="J445">
        <v>552.24</v>
      </c>
      <c r="K445">
        <v>361.48</v>
      </c>
      <c r="L445">
        <v>190.76</v>
      </c>
      <c r="M445" t="s">
        <v>18</v>
      </c>
      <c r="N445" t="str">
        <f t="shared" si="13"/>
        <v>OK</v>
      </c>
      <c r="O445" s="7" t="str">
        <f t="shared" si="14"/>
        <v>OK</v>
      </c>
    </row>
    <row r="446" spans="1:15">
      <c r="A446" t="s">
        <v>460</v>
      </c>
      <c r="B446" s="2">
        <v>45704</v>
      </c>
      <c r="C446" t="s">
        <v>282</v>
      </c>
      <c r="D446" t="s">
        <v>29</v>
      </c>
      <c r="E446" t="s">
        <v>461</v>
      </c>
      <c r="F446" t="s">
        <v>23</v>
      </c>
      <c r="G446">
        <v>4</v>
      </c>
      <c r="H446">
        <v>138.29</v>
      </c>
      <c r="I446">
        <v>0</v>
      </c>
      <c r="J446">
        <v>553.16</v>
      </c>
      <c r="K446">
        <v>356.07</v>
      </c>
      <c r="L446">
        <v>197.09</v>
      </c>
      <c r="M446" t="s">
        <v>18</v>
      </c>
      <c r="N446" t="str">
        <f t="shared" si="13"/>
        <v>OK</v>
      </c>
      <c r="O446" s="7" t="str">
        <f t="shared" si="14"/>
        <v>OK</v>
      </c>
    </row>
    <row r="447" spans="1:15">
      <c r="A447" t="s">
        <v>587</v>
      </c>
      <c r="B447" s="2">
        <v>45704</v>
      </c>
      <c r="C447" t="s">
        <v>157</v>
      </c>
      <c r="D447" t="s">
        <v>41</v>
      </c>
      <c r="E447" t="s">
        <v>42</v>
      </c>
      <c r="F447" t="s">
        <v>23</v>
      </c>
      <c r="G447">
        <v>5</v>
      </c>
      <c r="H447">
        <v>130.57</v>
      </c>
      <c r="I447">
        <v>0.15</v>
      </c>
      <c r="J447">
        <v>554.91999999999996</v>
      </c>
      <c r="K447">
        <v>335.44</v>
      </c>
      <c r="L447">
        <v>219.48</v>
      </c>
      <c r="M447" t="s">
        <v>18</v>
      </c>
      <c r="N447" t="str">
        <f t="shared" si="13"/>
        <v>OK</v>
      </c>
      <c r="O447" s="7" t="str">
        <f t="shared" si="14"/>
        <v>OK</v>
      </c>
    </row>
    <row r="448" spans="1:15">
      <c r="A448" t="s">
        <v>519</v>
      </c>
      <c r="B448" s="2">
        <v>45774</v>
      </c>
      <c r="C448" t="s">
        <v>355</v>
      </c>
      <c r="D448" t="s">
        <v>88</v>
      </c>
      <c r="E448" t="s">
        <v>16</v>
      </c>
      <c r="F448" t="s">
        <v>17</v>
      </c>
      <c r="G448">
        <v>4</v>
      </c>
      <c r="H448">
        <v>154.63999999999999</v>
      </c>
      <c r="I448">
        <v>0.1</v>
      </c>
      <c r="J448">
        <v>556.70000000000005</v>
      </c>
      <c r="K448">
        <v>457.65</v>
      </c>
      <c r="L448">
        <v>99.05</v>
      </c>
      <c r="M448" t="s">
        <v>18</v>
      </c>
      <c r="N448" t="str">
        <f t="shared" si="13"/>
        <v>OK</v>
      </c>
      <c r="O448" s="7" t="str">
        <f t="shared" si="14"/>
        <v>OK</v>
      </c>
    </row>
    <row r="449" spans="1:15">
      <c r="A449" t="s">
        <v>260</v>
      </c>
      <c r="B449" s="2">
        <v>45821</v>
      </c>
      <c r="C449" t="s">
        <v>135</v>
      </c>
      <c r="D449" t="s">
        <v>88</v>
      </c>
      <c r="E449" t="s">
        <v>16</v>
      </c>
      <c r="F449" t="s">
        <v>17</v>
      </c>
      <c r="G449">
        <v>4</v>
      </c>
      <c r="H449">
        <v>140.61000000000001</v>
      </c>
      <c r="I449">
        <v>0</v>
      </c>
      <c r="J449">
        <v>562.44000000000005</v>
      </c>
      <c r="K449">
        <v>450.58</v>
      </c>
      <c r="L449">
        <v>111.86</v>
      </c>
      <c r="M449" t="s">
        <v>18</v>
      </c>
      <c r="N449" t="str">
        <f t="shared" si="13"/>
        <v>OK</v>
      </c>
      <c r="O449" s="7" t="str">
        <f t="shared" si="14"/>
        <v>OK</v>
      </c>
    </row>
    <row r="450" spans="1:15">
      <c r="A450" t="s">
        <v>344</v>
      </c>
      <c r="B450" s="2">
        <v>45991</v>
      </c>
      <c r="C450" t="s">
        <v>20</v>
      </c>
      <c r="D450" t="s">
        <v>29</v>
      </c>
      <c r="E450" t="s">
        <v>22</v>
      </c>
      <c r="F450" t="s">
        <v>30</v>
      </c>
      <c r="G450">
        <v>4</v>
      </c>
      <c r="H450">
        <v>156.65</v>
      </c>
      <c r="I450">
        <v>0.1</v>
      </c>
      <c r="J450">
        <v>563.94000000000005</v>
      </c>
      <c r="K450">
        <v>401.51</v>
      </c>
      <c r="L450">
        <v>162.43</v>
      </c>
      <c r="M450" t="s">
        <v>24</v>
      </c>
      <c r="N450" t="str">
        <f t="shared" ref="N450:N503" si="15">IF(ABS(ROUND(G450*H450*(1-I450),2)-J450)&lt;=0.01,"OK","Mismatch")</f>
        <v>OK</v>
      </c>
      <c r="O450" s="7" t="str">
        <f t="shared" ref="O450:O503" si="16">IF(ROUND(J450-K450,2)=ROUND(L450,2),"OK","Mismatch")</f>
        <v>OK</v>
      </c>
    </row>
    <row r="451" spans="1:15">
      <c r="A451" t="s">
        <v>675</v>
      </c>
      <c r="B451" s="2">
        <v>45693</v>
      </c>
      <c r="C451" t="s">
        <v>55</v>
      </c>
      <c r="D451" t="s">
        <v>61</v>
      </c>
      <c r="E451" t="s">
        <v>42</v>
      </c>
      <c r="F451" t="s">
        <v>36</v>
      </c>
      <c r="G451">
        <v>4</v>
      </c>
      <c r="H451">
        <v>150.18</v>
      </c>
      <c r="I451">
        <v>0.05</v>
      </c>
      <c r="J451">
        <v>570.67999999999995</v>
      </c>
      <c r="K451">
        <v>374.43</v>
      </c>
      <c r="L451">
        <v>196.25</v>
      </c>
      <c r="M451" t="s">
        <v>31</v>
      </c>
      <c r="N451" t="str">
        <f t="shared" si="15"/>
        <v>OK</v>
      </c>
      <c r="O451" s="7" t="str">
        <f t="shared" si="16"/>
        <v>OK</v>
      </c>
    </row>
    <row r="452" spans="1:15">
      <c r="A452" t="s">
        <v>516</v>
      </c>
      <c r="B452" s="2">
        <v>45768</v>
      </c>
      <c r="C452" t="s">
        <v>355</v>
      </c>
      <c r="D452" t="s">
        <v>21</v>
      </c>
      <c r="E452" t="s">
        <v>22</v>
      </c>
      <c r="F452" t="s">
        <v>17</v>
      </c>
      <c r="G452">
        <v>4</v>
      </c>
      <c r="H452">
        <v>150.88</v>
      </c>
      <c r="I452">
        <v>0.05</v>
      </c>
      <c r="J452">
        <v>573.34</v>
      </c>
      <c r="K452">
        <v>343.76</v>
      </c>
      <c r="L452">
        <v>229.58</v>
      </c>
      <c r="M452" t="s">
        <v>31</v>
      </c>
      <c r="N452" t="str">
        <f t="shared" si="15"/>
        <v>OK</v>
      </c>
      <c r="O452" s="7" t="str">
        <f t="shared" si="16"/>
        <v>OK</v>
      </c>
    </row>
    <row r="453" spans="1:15">
      <c r="A453" t="s">
        <v>544</v>
      </c>
      <c r="B453" s="2">
        <v>45668</v>
      </c>
      <c r="C453" t="s">
        <v>303</v>
      </c>
      <c r="D453" t="s">
        <v>53</v>
      </c>
      <c r="E453" t="s">
        <v>42</v>
      </c>
      <c r="F453" t="s">
        <v>23</v>
      </c>
      <c r="G453">
        <v>5</v>
      </c>
      <c r="H453">
        <v>130.63999999999999</v>
      </c>
      <c r="I453">
        <v>0.1</v>
      </c>
      <c r="J453">
        <v>587.88</v>
      </c>
      <c r="K453">
        <v>493.71</v>
      </c>
      <c r="L453">
        <v>94.17</v>
      </c>
      <c r="M453" t="s">
        <v>24</v>
      </c>
      <c r="N453" t="str">
        <f t="shared" si="15"/>
        <v>OK</v>
      </c>
      <c r="O453" s="7" t="str">
        <f t="shared" si="16"/>
        <v>OK</v>
      </c>
    </row>
    <row r="454" spans="1:15">
      <c r="A454" t="s">
        <v>496</v>
      </c>
      <c r="B454" s="2">
        <v>45747</v>
      </c>
      <c r="C454" t="s">
        <v>321</v>
      </c>
      <c r="D454" t="s">
        <v>15</v>
      </c>
      <c r="E454" t="s">
        <v>16</v>
      </c>
      <c r="F454" t="s">
        <v>23</v>
      </c>
      <c r="G454">
        <v>5</v>
      </c>
      <c r="H454">
        <v>130.81</v>
      </c>
      <c r="I454">
        <v>0.1</v>
      </c>
      <c r="J454">
        <v>588.64</v>
      </c>
      <c r="K454">
        <v>378.38</v>
      </c>
      <c r="L454">
        <v>210.26</v>
      </c>
      <c r="M454" t="s">
        <v>31</v>
      </c>
      <c r="N454" t="str">
        <f t="shared" si="15"/>
        <v>OK</v>
      </c>
      <c r="O454" s="7" t="str">
        <f t="shared" si="16"/>
        <v>OK</v>
      </c>
    </row>
    <row r="455" spans="1:15">
      <c r="A455" t="s">
        <v>421</v>
      </c>
      <c r="B455" s="2">
        <v>45779</v>
      </c>
      <c r="C455" t="s">
        <v>397</v>
      </c>
      <c r="D455" t="s">
        <v>61</v>
      </c>
      <c r="E455" t="s">
        <v>42</v>
      </c>
      <c r="F455" t="s">
        <v>36</v>
      </c>
      <c r="G455">
        <v>5</v>
      </c>
      <c r="H455">
        <v>124.27</v>
      </c>
      <c r="I455">
        <v>0.05</v>
      </c>
      <c r="J455">
        <v>590.28</v>
      </c>
      <c r="K455">
        <v>326.91000000000003</v>
      </c>
      <c r="L455">
        <v>263.37</v>
      </c>
      <c r="M455" t="s">
        <v>31</v>
      </c>
      <c r="N455" t="str">
        <f t="shared" si="15"/>
        <v>OK</v>
      </c>
      <c r="O455" s="7" t="str">
        <f t="shared" si="16"/>
        <v>OK</v>
      </c>
    </row>
    <row r="456" spans="1:15">
      <c r="A456" t="s">
        <v>435</v>
      </c>
      <c r="B456" s="2">
        <v>45911</v>
      </c>
      <c r="C456" t="s">
        <v>44</v>
      </c>
      <c r="D456" t="s">
        <v>15</v>
      </c>
      <c r="E456" t="s">
        <v>16</v>
      </c>
      <c r="F456" t="s">
        <v>36</v>
      </c>
      <c r="G456">
        <v>5</v>
      </c>
      <c r="H456">
        <v>118.48</v>
      </c>
      <c r="I456">
        <v>0</v>
      </c>
      <c r="J456">
        <v>592.4</v>
      </c>
      <c r="K456">
        <v>428.89</v>
      </c>
      <c r="L456">
        <v>163.51</v>
      </c>
      <c r="M456" t="s">
        <v>24</v>
      </c>
      <c r="N456" t="str">
        <f t="shared" si="15"/>
        <v>OK</v>
      </c>
      <c r="O456" s="7" t="str">
        <f t="shared" si="16"/>
        <v>OK</v>
      </c>
    </row>
    <row r="457" spans="1:15">
      <c r="A457" t="s">
        <v>521</v>
      </c>
      <c r="B457" s="2">
        <v>45893</v>
      </c>
      <c r="C457" t="s">
        <v>72</v>
      </c>
      <c r="D457" t="s">
        <v>41</v>
      </c>
      <c r="E457" t="s">
        <v>42</v>
      </c>
      <c r="F457" t="s">
        <v>23</v>
      </c>
      <c r="G457">
        <v>4</v>
      </c>
      <c r="H457">
        <v>174.77</v>
      </c>
      <c r="I457">
        <v>0.15</v>
      </c>
      <c r="J457">
        <v>594.22</v>
      </c>
      <c r="K457">
        <v>418.25</v>
      </c>
      <c r="L457">
        <v>175.97</v>
      </c>
      <c r="M457" t="s">
        <v>24</v>
      </c>
      <c r="N457" t="str">
        <f t="shared" si="15"/>
        <v>OK</v>
      </c>
      <c r="O457" s="7" t="str">
        <f t="shared" si="16"/>
        <v>OK</v>
      </c>
    </row>
    <row r="458" spans="1:15">
      <c r="A458" t="s">
        <v>533</v>
      </c>
      <c r="B458" s="2">
        <v>45775</v>
      </c>
      <c r="C458" t="s">
        <v>33</v>
      </c>
      <c r="D458" t="s">
        <v>139</v>
      </c>
      <c r="E458" t="s">
        <v>16</v>
      </c>
      <c r="F458" t="s">
        <v>17</v>
      </c>
      <c r="G458">
        <v>4</v>
      </c>
      <c r="H458">
        <v>156.5</v>
      </c>
      <c r="I458">
        <v>0.05</v>
      </c>
      <c r="J458">
        <v>594.70000000000005</v>
      </c>
      <c r="K458">
        <v>379.27</v>
      </c>
      <c r="L458">
        <v>215.43</v>
      </c>
      <c r="M458" t="s">
        <v>18</v>
      </c>
      <c r="N458" t="str">
        <f t="shared" si="15"/>
        <v>OK</v>
      </c>
      <c r="O458" s="7" t="str">
        <f t="shared" si="16"/>
        <v>OK</v>
      </c>
    </row>
    <row r="459" spans="1:15">
      <c r="A459" t="s">
        <v>583</v>
      </c>
      <c r="B459" s="2">
        <v>45980</v>
      </c>
      <c r="C459" t="s">
        <v>172</v>
      </c>
      <c r="D459" t="s">
        <v>15</v>
      </c>
      <c r="E459" t="s">
        <v>16</v>
      </c>
      <c r="F459" t="s">
        <v>30</v>
      </c>
      <c r="G459">
        <v>5</v>
      </c>
      <c r="H459">
        <v>133</v>
      </c>
      <c r="I459">
        <v>0.1</v>
      </c>
      <c r="J459">
        <v>598.5</v>
      </c>
      <c r="K459">
        <v>392.48</v>
      </c>
      <c r="L459">
        <v>206.02</v>
      </c>
      <c r="M459" t="s">
        <v>24</v>
      </c>
      <c r="N459" t="str">
        <f t="shared" si="15"/>
        <v>OK</v>
      </c>
      <c r="O459" s="7" t="str">
        <f t="shared" si="16"/>
        <v>OK</v>
      </c>
    </row>
    <row r="460" spans="1:15">
      <c r="A460" t="s">
        <v>54</v>
      </c>
      <c r="B460" s="2">
        <v>45884</v>
      </c>
      <c r="C460" t="s">
        <v>55</v>
      </c>
      <c r="D460" t="s">
        <v>56</v>
      </c>
      <c r="E460" t="s">
        <v>16</v>
      </c>
      <c r="F460" t="s">
        <v>17</v>
      </c>
      <c r="G460">
        <v>5</v>
      </c>
      <c r="H460">
        <v>133.49</v>
      </c>
      <c r="I460">
        <v>0.1</v>
      </c>
      <c r="J460">
        <v>600.71</v>
      </c>
      <c r="K460">
        <v>490.28</v>
      </c>
      <c r="L460">
        <v>110.43</v>
      </c>
      <c r="M460" t="s">
        <v>18</v>
      </c>
      <c r="N460" t="str">
        <f t="shared" si="15"/>
        <v>OK</v>
      </c>
      <c r="O460" s="7" t="str">
        <f t="shared" si="16"/>
        <v>OK</v>
      </c>
    </row>
    <row r="461" spans="1:15">
      <c r="A461" t="s">
        <v>250</v>
      </c>
      <c r="B461" s="2">
        <v>45883</v>
      </c>
      <c r="C461" t="s">
        <v>33</v>
      </c>
      <c r="D461" t="s">
        <v>139</v>
      </c>
      <c r="E461" t="s">
        <v>16</v>
      </c>
      <c r="F461" t="s">
        <v>23</v>
      </c>
      <c r="G461">
        <v>4</v>
      </c>
      <c r="H461">
        <v>150.87</v>
      </c>
      <c r="I461">
        <v>0</v>
      </c>
      <c r="J461">
        <v>603.48</v>
      </c>
      <c r="K461">
        <v>472.01</v>
      </c>
      <c r="L461">
        <v>131.47</v>
      </c>
      <c r="M461" t="s">
        <v>18</v>
      </c>
      <c r="N461" t="str">
        <f t="shared" si="15"/>
        <v>OK</v>
      </c>
      <c r="O461" s="7" t="str">
        <f t="shared" si="16"/>
        <v>OK</v>
      </c>
    </row>
    <row r="462" spans="1:15">
      <c r="A462" t="s">
        <v>624</v>
      </c>
      <c r="B462" s="2">
        <v>45766</v>
      </c>
      <c r="C462" t="s">
        <v>116</v>
      </c>
      <c r="D462" t="s">
        <v>21</v>
      </c>
      <c r="E462" t="s">
        <v>22</v>
      </c>
      <c r="F462" t="s">
        <v>23</v>
      </c>
      <c r="G462">
        <v>5</v>
      </c>
      <c r="H462">
        <v>143.28</v>
      </c>
      <c r="I462">
        <v>0.15</v>
      </c>
      <c r="J462">
        <v>608.94000000000005</v>
      </c>
      <c r="K462">
        <v>471.34</v>
      </c>
      <c r="L462">
        <v>137.6</v>
      </c>
      <c r="M462" t="s">
        <v>18</v>
      </c>
      <c r="N462" t="str">
        <f t="shared" si="15"/>
        <v>OK</v>
      </c>
      <c r="O462" s="7" t="str">
        <f t="shared" si="16"/>
        <v>OK</v>
      </c>
    </row>
    <row r="463" spans="1:15">
      <c r="A463" t="s">
        <v>212</v>
      </c>
      <c r="B463" s="2">
        <v>45943</v>
      </c>
      <c r="C463" t="s">
        <v>131</v>
      </c>
      <c r="D463" t="s">
        <v>29</v>
      </c>
      <c r="E463" t="s">
        <v>22</v>
      </c>
      <c r="F463" t="s">
        <v>30</v>
      </c>
      <c r="G463">
        <v>4</v>
      </c>
      <c r="H463">
        <v>152.79</v>
      </c>
      <c r="I463">
        <v>0</v>
      </c>
      <c r="J463">
        <v>611.16</v>
      </c>
      <c r="K463">
        <v>481.95</v>
      </c>
      <c r="L463">
        <v>129.21</v>
      </c>
      <c r="M463" t="s">
        <v>24</v>
      </c>
      <c r="N463" t="str">
        <f t="shared" si="15"/>
        <v>OK</v>
      </c>
      <c r="O463" s="7" t="str">
        <f t="shared" si="16"/>
        <v>OK</v>
      </c>
    </row>
    <row r="464" spans="1:15">
      <c r="A464" t="s">
        <v>495</v>
      </c>
      <c r="B464" s="2">
        <v>45658</v>
      </c>
      <c r="C464" t="s">
        <v>208</v>
      </c>
      <c r="D464" t="s">
        <v>88</v>
      </c>
      <c r="E464" t="s">
        <v>16</v>
      </c>
      <c r="F464" t="s">
        <v>23</v>
      </c>
      <c r="G464">
        <v>5</v>
      </c>
      <c r="H464">
        <v>124.17</v>
      </c>
      <c r="I464">
        <v>0</v>
      </c>
      <c r="J464">
        <v>620.85</v>
      </c>
      <c r="K464">
        <v>425.39</v>
      </c>
      <c r="L464">
        <v>195.46</v>
      </c>
      <c r="M464" t="s">
        <v>31</v>
      </c>
      <c r="N464" t="str">
        <f t="shared" si="15"/>
        <v>OK</v>
      </c>
      <c r="O464" s="7" t="str">
        <f t="shared" si="16"/>
        <v>OK</v>
      </c>
    </row>
    <row r="465" spans="1:15" hidden="1">
      <c r="A465" t="s">
        <v>667</v>
      </c>
      <c r="B465" t="s">
        <v>668</v>
      </c>
      <c r="C465" t="s">
        <v>385</v>
      </c>
      <c r="D465" t="s">
        <v>70</v>
      </c>
      <c r="E465" t="s">
        <v>35</v>
      </c>
      <c r="F465" t="s">
        <v>23</v>
      </c>
      <c r="G465">
        <v>2</v>
      </c>
      <c r="H465">
        <v>106.49</v>
      </c>
      <c r="I465">
        <v>0</v>
      </c>
      <c r="J465">
        <v>212.98</v>
      </c>
      <c r="K465">
        <v>176.01</v>
      </c>
      <c r="L465">
        <v>36.97</v>
      </c>
      <c r="M465" t="s">
        <v>18</v>
      </c>
      <c r="N465" t="str">
        <f t="shared" si="15"/>
        <v>OK</v>
      </c>
      <c r="O465" s="7" t="str">
        <f t="shared" si="16"/>
        <v>OK</v>
      </c>
    </row>
    <row r="466" spans="1:15">
      <c r="A466" t="s">
        <v>657</v>
      </c>
      <c r="B466" s="2">
        <v>45926</v>
      </c>
      <c r="C466" t="s">
        <v>135</v>
      </c>
      <c r="D466" t="s">
        <v>139</v>
      </c>
      <c r="E466" t="s">
        <v>16</v>
      </c>
      <c r="F466" t="s">
        <v>17</v>
      </c>
      <c r="G466">
        <v>5</v>
      </c>
      <c r="H466">
        <v>155.58000000000001</v>
      </c>
      <c r="I466">
        <v>0.2</v>
      </c>
      <c r="J466">
        <v>622.32000000000005</v>
      </c>
      <c r="K466">
        <v>387.36</v>
      </c>
      <c r="L466">
        <v>234.96</v>
      </c>
      <c r="M466" t="s">
        <v>31</v>
      </c>
      <c r="N466" t="str">
        <f t="shared" si="15"/>
        <v>OK</v>
      </c>
      <c r="O466" s="7" t="str">
        <f t="shared" si="16"/>
        <v>OK</v>
      </c>
    </row>
    <row r="467" spans="1:15">
      <c r="A467" t="s">
        <v>267</v>
      </c>
      <c r="B467" s="2">
        <v>45746</v>
      </c>
      <c r="C467" t="s">
        <v>268</v>
      </c>
      <c r="D467" t="s">
        <v>15</v>
      </c>
      <c r="E467" t="s">
        <v>16</v>
      </c>
      <c r="F467" t="s">
        <v>17</v>
      </c>
      <c r="G467">
        <v>5</v>
      </c>
      <c r="H467">
        <v>138.55000000000001</v>
      </c>
      <c r="I467">
        <v>0.1</v>
      </c>
      <c r="J467">
        <v>623.48</v>
      </c>
      <c r="K467">
        <v>462.1</v>
      </c>
      <c r="L467">
        <v>161.38</v>
      </c>
      <c r="M467" t="s">
        <v>18</v>
      </c>
      <c r="N467" t="str">
        <f t="shared" si="15"/>
        <v>OK</v>
      </c>
      <c r="O467" s="7" t="str">
        <f t="shared" si="16"/>
        <v>OK</v>
      </c>
    </row>
    <row r="468" spans="1:15">
      <c r="A468" t="s">
        <v>457</v>
      </c>
      <c r="B468" s="2">
        <v>45941</v>
      </c>
      <c r="C468" t="s">
        <v>166</v>
      </c>
      <c r="D468" t="s">
        <v>21</v>
      </c>
      <c r="E468" t="s">
        <v>22</v>
      </c>
      <c r="F468" t="s">
        <v>30</v>
      </c>
      <c r="G468">
        <v>4</v>
      </c>
      <c r="H468">
        <v>157.74</v>
      </c>
      <c r="I468">
        <v>0</v>
      </c>
      <c r="J468">
        <v>630.96</v>
      </c>
      <c r="K468">
        <v>432.44</v>
      </c>
      <c r="L468">
        <v>198.52</v>
      </c>
      <c r="M468" t="s">
        <v>18</v>
      </c>
      <c r="N468" t="str">
        <f t="shared" si="15"/>
        <v>OK</v>
      </c>
      <c r="O468" s="7" t="str">
        <f t="shared" si="16"/>
        <v>OK</v>
      </c>
    </row>
    <row r="469" spans="1:15">
      <c r="A469" t="s">
        <v>177</v>
      </c>
      <c r="B469" t="s">
        <v>178</v>
      </c>
      <c r="C469" t="s">
        <v>147</v>
      </c>
      <c r="D469" t="s">
        <v>139</v>
      </c>
      <c r="E469" t="s">
        <v>16</v>
      </c>
      <c r="F469" t="s">
        <v>30</v>
      </c>
      <c r="G469">
        <v>4</v>
      </c>
      <c r="H469">
        <v>176.64</v>
      </c>
      <c r="I469">
        <v>0.1</v>
      </c>
      <c r="J469">
        <v>635.9</v>
      </c>
      <c r="K469">
        <v>471.2</v>
      </c>
      <c r="L469">
        <v>164.7</v>
      </c>
      <c r="M469" t="s">
        <v>18</v>
      </c>
      <c r="N469" t="str">
        <f t="shared" si="15"/>
        <v>OK</v>
      </c>
      <c r="O469" s="7" t="str">
        <f t="shared" si="16"/>
        <v>OK</v>
      </c>
    </row>
    <row r="470" spans="1:15">
      <c r="A470" t="s">
        <v>279</v>
      </c>
      <c r="B470" s="2">
        <v>45722</v>
      </c>
      <c r="C470" t="s">
        <v>280</v>
      </c>
      <c r="D470" t="s">
        <v>21</v>
      </c>
      <c r="E470" t="s">
        <v>22</v>
      </c>
      <c r="F470" t="s">
        <v>17</v>
      </c>
      <c r="G470">
        <v>4</v>
      </c>
      <c r="H470">
        <v>177.26</v>
      </c>
      <c r="I470">
        <v>0.1</v>
      </c>
      <c r="J470">
        <v>638.14</v>
      </c>
      <c r="K470">
        <v>430.96</v>
      </c>
      <c r="L470">
        <v>207.18</v>
      </c>
      <c r="M470" t="s">
        <v>24</v>
      </c>
      <c r="N470" t="str">
        <f t="shared" si="15"/>
        <v>OK</v>
      </c>
      <c r="O470" s="7" t="str">
        <f t="shared" si="16"/>
        <v>OK</v>
      </c>
    </row>
    <row r="471" spans="1:15">
      <c r="A471" t="s">
        <v>111</v>
      </c>
      <c r="B471" s="2">
        <v>45810</v>
      </c>
      <c r="C471" t="s">
        <v>112</v>
      </c>
      <c r="D471" t="s">
        <v>21</v>
      </c>
      <c r="E471" t="s">
        <v>22</v>
      </c>
      <c r="F471" t="s">
        <v>36</v>
      </c>
      <c r="G471">
        <v>4</v>
      </c>
      <c r="H471">
        <v>160.5</v>
      </c>
      <c r="I471">
        <v>0</v>
      </c>
      <c r="J471">
        <v>642</v>
      </c>
      <c r="K471">
        <v>464.59</v>
      </c>
      <c r="L471">
        <v>177.41</v>
      </c>
      <c r="M471" t="s">
        <v>18</v>
      </c>
      <c r="N471" t="str">
        <f t="shared" si="15"/>
        <v>OK</v>
      </c>
      <c r="O471" s="7" t="str">
        <f t="shared" si="16"/>
        <v>OK</v>
      </c>
    </row>
    <row r="472" spans="1:15">
      <c r="A472" t="s">
        <v>566</v>
      </c>
      <c r="B472" s="2">
        <v>45989</v>
      </c>
      <c r="C472" t="s">
        <v>79</v>
      </c>
      <c r="D472" t="s">
        <v>45</v>
      </c>
      <c r="E472" t="s">
        <v>22</v>
      </c>
      <c r="F472" t="s">
        <v>30</v>
      </c>
      <c r="G472">
        <v>4</v>
      </c>
      <c r="H472">
        <v>179.11</v>
      </c>
      <c r="I472">
        <v>0.1</v>
      </c>
      <c r="J472">
        <v>644.79999999999995</v>
      </c>
      <c r="K472">
        <v>544.42999999999995</v>
      </c>
      <c r="L472">
        <v>100.37</v>
      </c>
      <c r="M472" t="s">
        <v>18</v>
      </c>
      <c r="N472" t="str">
        <f t="shared" si="15"/>
        <v>OK</v>
      </c>
      <c r="O472" s="7" t="str">
        <f t="shared" si="16"/>
        <v>OK</v>
      </c>
    </row>
    <row r="473" spans="1:15">
      <c r="A473" t="s">
        <v>537</v>
      </c>
      <c r="B473" s="2">
        <v>45716</v>
      </c>
      <c r="C473" t="s">
        <v>114</v>
      </c>
      <c r="D473" t="s">
        <v>61</v>
      </c>
      <c r="E473" t="s">
        <v>42</v>
      </c>
      <c r="F473" t="s">
        <v>36</v>
      </c>
      <c r="G473">
        <v>5</v>
      </c>
      <c r="H473">
        <v>146.28</v>
      </c>
      <c r="I473">
        <v>0.1</v>
      </c>
      <c r="J473">
        <v>658.26</v>
      </c>
      <c r="K473">
        <v>464.77</v>
      </c>
      <c r="L473">
        <v>193.49</v>
      </c>
      <c r="M473" t="s">
        <v>31</v>
      </c>
      <c r="N473" t="str">
        <f t="shared" si="15"/>
        <v>OK</v>
      </c>
      <c r="O473" s="7" t="str">
        <f t="shared" si="16"/>
        <v>OK</v>
      </c>
    </row>
    <row r="474" spans="1:15">
      <c r="A474" t="s">
        <v>153</v>
      </c>
      <c r="B474" s="2">
        <v>45774</v>
      </c>
      <c r="C474" t="s">
        <v>154</v>
      </c>
      <c r="D474" t="s">
        <v>88</v>
      </c>
      <c r="E474" t="s">
        <v>16</v>
      </c>
      <c r="F474" t="s">
        <v>36</v>
      </c>
      <c r="G474">
        <v>4</v>
      </c>
      <c r="H474">
        <v>173.49</v>
      </c>
      <c r="I474">
        <v>0.05</v>
      </c>
      <c r="J474">
        <v>659.26</v>
      </c>
      <c r="K474">
        <v>419.1</v>
      </c>
      <c r="L474">
        <v>240.16</v>
      </c>
      <c r="M474" t="s">
        <v>18</v>
      </c>
      <c r="N474" t="str">
        <f t="shared" si="15"/>
        <v>OK</v>
      </c>
      <c r="O474" s="7" t="str">
        <f t="shared" si="16"/>
        <v>OK</v>
      </c>
    </row>
    <row r="475" spans="1:15">
      <c r="A475" t="s">
        <v>315</v>
      </c>
      <c r="B475" s="2">
        <v>45879</v>
      </c>
      <c r="C475" t="s">
        <v>303</v>
      </c>
      <c r="D475" t="s">
        <v>29</v>
      </c>
      <c r="E475" t="s">
        <v>22</v>
      </c>
      <c r="F475" t="s">
        <v>36</v>
      </c>
      <c r="G475">
        <v>5</v>
      </c>
      <c r="H475">
        <v>164.84</v>
      </c>
      <c r="I475">
        <v>0.2</v>
      </c>
      <c r="J475">
        <v>659.36</v>
      </c>
      <c r="K475">
        <v>399.33</v>
      </c>
      <c r="L475">
        <v>260.02999999999997</v>
      </c>
      <c r="M475" t="s">
        <v>18</v>
      </c>
      <c r="N475" t="str">
        <f t="shared" si="15"/>
        <v>OK</v>
      </c>
      <c r="O475" s="7" t="str">
        <f t="shared" si="16"/>
        <v>OK</v>
      </c>
    </row>
    <row r="476" spans="1:15">
      <c r="A476" t="s">
        <v>270</v>
      </c>
      <c r="B476" s="2">
        <v>45872</v>
      </c>
      <c r="C476" t="s">
        <v>271</v>
      </c>
      <c r="D476" t="s">
        <v>56</v>
      </c>
      <c r="E476" t="s">
        <v>16</v>
      </c>
      <c r="F476" t="s">
        <v>17</v>
      </c>
      <c r="G476">
        <v>5</v>
      </c>
      <c r="H476">
        <v>133.74</v>
      </c>
      <c r="I476">
        <v>0</v>
      </c>
      <c r="J476">
        <v>668.7</v>
      </c>
      <c r="K476">
        <v>390.91</v>
      </c>
      <c r="L476">
        <v>277.79000000000002</v>
      </c>
      <c r="M476" t="s">
        <v>18</v>
      </c>
      <c r="N476" t="str">
        <f t="shared" si="15"/>
        <v>OK</v>
      </c>
      <c r="O476" s="7" t="str">
        <f t="shared" si="16"/>
        <v>OK</v>
      </c>
    </row>
    <row r="477" spans="1:15">
      <c r="A477" t="s">
        <v>514</v>
      </c>
      <c r="B477" s="2">
        <v>45999</v>
      </c>
      <c r="C477" t="s">
        <v>33</v>
      </c>
      <c r="D477" t="s">
        <v>29</v>
      </c>
      <c r="E477" t="s">
        <v>22</v>
      </c>
      <c r="F477" t="s">
        <v>17</v>
      </c>
      <c r="G477">
        <v>4</v>
      </c>
      <c r="H477">
        <v>176.58</v>
      </c>
      <c r="I477">
        <v>0.05</v>
      </c>
      <c r="J477">
        <v>671</v>
      </c>
      <c r="K477">
        <v>476.19</v>
      </c>
      <c r="L477">
        <v>194.81</v>
      </c>
      <c r="M477" t="s">
        <v>31</v>
      </c>
      <c r="N477" t="str">
        <f t="shared" si="15"/>
        <v>OK</v>
      </c>
      <c r="O477" s="7" t="str">
        <f t="shared" si="16"/>
        <v>OK</v>
      </c>
    </row>
    <row r="478" spans="1:15">
      <c r="A478" t="s">
        <v>142</v>
      </c>
      <c r="B478" s="2">
        <v>45790</v>
      </c>
      <c r="C478" t="s">
        <v>143</v>
      </c>
      <c r="D478" t="s">
        <v>34</v>
      </c>
      <c r="E478" t="s">
        <v>35</v>
      </c>
      <c r="F478" t="s">
        <v>17</v>
      </c>
      <c r="G478">
        <v>5</v>
      </c>
      <c r="H478">
        <v>168.12</v>
      </c>
      <c r="I478">
        <v>0.2</v>
      </c>
      <c r="J478">
        <v>672.48</v>
      </c>
      <c r="K478">
        <v>570.79</v>
      </c>
      <c r="L478">
        <v>101.69</v>
      </c>
      <c r="M478" t="s">
        <v>18</v>
      </c>
      <c r="N478" t="str">
        <f t="shared" si="15"/>
        <v>OK</v>
      </c>
      <c r="O478" s="7" t="str">
        <f t="shared" si="16"/>
        <v>OK</v>
      </c>
    </row>
    <row r="479" spans="1:15">
      <c r="A479" t="s">
        <v>513</v>
      </c>
      <c r="B479" s="2">
        <v>45783</v>
      </c>
      <c r="C479" t="s">
        <v>180</v>
      </c>
      <c r="D479" t="s">
        <v>56</v>
      </c>
      <c r="E479" t="s">
        <v>16</v>
      </c>
      <c r="F479" t="s">
        <v>30</v>
      </c>
      <c r="G479">
        <v>4</v>
      </c>
      <c r="H479">
        <v>179.12</v>
      </c>
      <c r="I479">
        <v>0.05</v>
      </c>
      <c r="J479">
        <v>680.66</v>
      </c>
      <c r="K479">
        <v>392.37</v>
      </c>
      <c r="L479">
        <v>288.29000000000002</v>
      </c>
      <c r="M479" t="s">
        <v>18</v>
      </c>
      <c r="N479" t="str">
        <f t="shared" si="15"/>
        <v>OK</v>
      </c>
      <c r="O479" s="7" t="str">
        <f t="shared" si="16"/>
        <v>OK</v>
      </c>
    </row>
    <row r="480" spans="1:15">
      <c r="A480" t="s">
        <v>437</v>
      </c>
      <c r="B480" s="2">
        <v>46007</v>
      </c>
      <c r="C480" t="s">
        <v>135</v>
      </c>
      <c r="D480" t="s">
        <v>41</v>
      </c>
      <c r="E480" t="s">
        <v>42</v>
      </c>
      <c r="F480" t="s">
        <v>17</v>
      </c>
      <c r="G480">
        <v>5</v>
      </c>
      <c r="H480">
        <v>143.63999999999999</v>
      </c>
      <c r="I480">
        <v>0.05</v>
      </c>
      <c r="J480">
        <v>682.29</v>
      </c>
      <c r="K480">
        <v>465.36</v>
      </c>
      <c r="L480">
        <v>216.93</v>
      </c>
      <c r="M480" t="s">
        <v>24</v>
      </c>
      <c r="N480" t="str">
        <f t="shared" si="15"/>
        <v>OK</v>
      </c>
      <c r="O480" s="7" t="str">
        <f t="shared" si="16"/>
        <v>OK</v>
      </c>
    </row>
    <row r="481" spans="1:15">
      <c r="A481" t="s">
        <v>654</v>
      </c>
      <c r="B481" s="2">
        <v>45833</v>
      </c>
      <c r="C481" t="s">
        <v>154</v>
      </c>
      <c r="D481" t="s">
        <v>105</v>
      </c>
      <c r="E481" t="s">
        <v>42</v>
      </c>
      <c r="F481" t="s">
        <v>30</v>
      </c>
      <c r="G481">
        <v>5</v>
      </c>
      <c r="H481">
        <v>160.82</v>
      </c>
      <c r="I481">
        <v>0.15</v>
      </c>
      <c r="J481">
        <v>683.48</v>
      </c>
      <c r="K481">
        <v>505.1</v>
      </c>
      <c r="L481">
        <v>178.38</v>
      </c>
      <c r="M481" t="s">
        <v>18</v>
      </c>
      <c r="N481" t="str">
        <f t="shared" si="15"/>
        <v>OK</v>
      </c>
      <c r="O481" s="7" t="str">
        <f t="shared" si="16"/>
        <v>OK</v>
      </c>
    </row>
    <row r="482" spans="1:15">
      <c r="A482" t="s">
        <v>298</v>
      </c>
      <c r="B482" s="2">
        <v>45845</v>
      </c>
      <c r="C482" t="s">
        <v>145</v>
      </c>
      <c r="D482" t="s">
        <v>21</v>
      </c>
      <c r="E482" t="s">
        <v>22</v>
      </c>
      <c r="F482" t="s">
        <v>30</v>
      </c>
      <c r="G482">
        <v>5</v>
      </c>
      <c r="H482">
        <v>151.97</v>
      </c>
      <c r="I482">
        <v>0.1</v>
      </c>
      <c r="J482">
        <v>683.86</v>
      </c>
      <c r="K482">
        <v>515.66</v>
      </c>
      <c r="L482">
        <v>168.2</v>
      </c>
      <c r="M482" t="s">
        <v>18</v>
      </c>
      <c r="N482" t="str">
        <f t="shared" si="15"/>
        <v>OK</v>
      </c>
      <c r="O482" s="7" t="str">
        <f t="shared" si="16"/>
        <v>OK</v>
      </c>
    </row>
    <row r="483" spans="1:15">
      <c r="A483" t="s">
        <v>330</v>
      </c>
      <c r="B483" s="2">
        <v>45809</v>
      </c>
      <c r="C483" t="s">
        <v>331</v>
      </c>
      <c r="D483" t="s">
        <v>56</v>
      </c>
      <c r="E483" t="s">
        <v>16</v>
      </c>
      <c r="F483" t="s">
        <v>30</v>
      </c>
      <c r="G483">
        <v>5</v>
      </c>
      <c r="H483">
        <v>153.55000000000001</v>
      </c>
      <c r="I483">
        <v>0.1</v>
      </c>
      <c r="J483">
        <v>690.98</v>
      </c>
      <c r="K483">
        <v>532.47</v>
      </c>
      <c r="L483">
        <v>158.51</v>
      </c>
      <c r="M483" t="s">
        <v>24</v>
      </c>
      <c r="N483" t="str">
        <f t="shared" si="15"/>
        <v>OK</v>
      </c>
      <c r="O483" s="7" t="str">
        <f t="shared" si="16"/>
        <v>OK</v>
      </c>
    </row>
    <row r="484" spans="1:15">
      <c r="A484" t="s">
        <v>211</v>
      </c>
      <c r="B484" s="2">
        <v>45733</v>
      </c>
      <c r="C484" t="s">
        <v>131</v>
      </c>
      <c r="D484" t="s">
        <v>110</v>
      </c>
      <c r="E484" t="s">
        <v>35</v>
      </c>
      <c r="F484" t="s">
        <v>30</v>
      </c>
      <c r="G484">
        <v>4</v>
      </c>
      <c r="H484">
        <v>173.98</v>
      </c>
      <c r="I484">
        <v>0</v>
      </c>
      <c r="J484">
        <v>695.92</v>
      </c>
      <c r="K484">
        <v>535.34</v>
      </c>
      <c r="L484">
        <v>160.58000000000001</v>
      </c>
      <c r="M484" t="s">
        <v>18</v>
      </c>
      <c r="N484" t="str">
        <f t="shared" si="15"/>
        <v>OK</v>
      </c>
      <c r="O484" s="7" t="str">
        <f t="shared" si="16"/>
        <v>OK</v>
      </c>
    </row>
    <row r="485" spans="1:15">
      <c r="A485" t="s">
        <v>693</v>
      </c>
      <c r="B485" s="2">
        <v>45773</v>
      </c>
      <c r="C485" t="s">
        <v>282</v>
      </c>
      <c r="D485" t="s">
        <v>34</v>
      </c>
      <c r="E485" t="s">
        <v>35</v>
      </c>
      <c r="F485" t="s">
        <v>30</v>
      </c>
      <c r="G485">
        <v>5</v>
      </c>
      <c r="H485">
        <v>139.22</v>
      </c>
      <c r="I485">
        <v>0</v>
      </c>
      <c r="J485">
        <v>696.1</v>
      </c>
      <c r="K485">
        <v>517.88</v>
      </c>
      <c r="L485">
        <v>178.22</v>
      </c>
      <c r="M485" t="s">
        <v>18</v>
      </c>
      <c r="N485" t="str">
        <f t="shared" si="15"/>
        <v>OK</v>
      </c>
      <c r="O485" s="7" t="str">
        <f t="shared" si="16"/>
        <v>OK</v>
      </c>
    </row>
    <row r="486" spans="1:15">
      <c r="A486" t="s">
        <v>586</v>
      </c>
      <c r="B486" s="2">
        <v>46000</v>
      </c>
      <c r="C486" t="s">
        <v>120</v>
      </c>
      <c r="D486" t="s">
        <v>56</v>
      </c>
      <c r="E486" t="s">
        <v>16</v>
      </c>
      <c r="F486" t="s">
        <v>36</v>
      </c>
      <c r="G486">
        <v>4</v>
      </c>
      <c r="H486">
        <v>174.3</v>
      </c>
      <c r="I486">
        <v>0</v>
      </c>
      <c r="J486">
        <v>697.2</v>
      </c>
      <c r="K486">
        <v>522.14</v>
      </c>
      <c r="L486">
        <v>175.06</v>
      </c>
      <c r="M486" t="s">
        <v>18</v>
      </c>
      <c r="N486" t="str">
        <f t="shared" si="15"/>
        <v>OK</v>
      </c>
      <c r="O486" s="7" t="str">
        <f t="shared" si="16"/>
        <v>OK</v>
      </c>
    </row>
    <row r="487" spans="1:15">
      <c r="A487" t="s">
        <v>551</v>
      </c>
      <c r="B487" t="s">
        <v>552</v>
      </c>
      <c r="C487" t="s">
        <v>474</v>
      </c>
      <c r="D487" t="s">
        <v>105</v>
      </c>
      <c r="E487" t="s">
        <v>42</v>
      </c>
      <c r="F487" t="s">
        <v>17</v>
      </c>
      <c r="G487">
        <v>5</v>
      </c>
      <c r="H487">
        <v>164.7</v>
      </c>
      <c r="I487">
        <v>0.15</v>
      </c>
      <c r="J487">
        <v>699.98</v>
      </c>
      <c r="K487">
        <v>533.96</v>
      </c>
      <c r="L487">
        <v>166.02</v>
      </c>
      <c r="M487" t="s">
        <v>18</v>
      </c>
      <c r="N487" t="str">
        <f t="shared" si="15"/>
        <v>OK</v>
      </c>
      <c r="O487" s="7" t="str">
        <f t="shared" si="16"/>
        <v>OK</v>
      </c>
    </row>
    <row r="488" spans="1:15">
      <c r="A488" t="s">
        <v>662</v>
      </c>
      <c r="B488" s="2">
        <v>45827</v>
      </c>
      <c r="C488" t="s">
        <v>147</v>
      </c>
      <c r="D488" t="s">
        <v>139</v>
      </c>
      <c r="E488" t="s">
        <v>16</v>
      </c>
      <c r="F488" t="s">
        <v>30</v>
      </c>
      <c r="G488">
        <v>5</v>
      </c>
      <c r="H488">
        <v>179.25</v>
      </c>
      <c r="I488">
        <v>0.2</v>
      </c>
      <c r="J488">
        <v>717</v>
      </c>
      <c r="K488">
        <v>534.05999999999995</v>
      </c>
      <c r="L488">
        <v>182.94</v>
      </c>
      <c r="M488" t="s">
        <v>18</v>
      </c>
      <c r="N488" t="str">
        <f t="shared" si="15"/>
        <v>OK</v>
      </c>
      <c r="O488" s="7" t="str">
        <f t="shared" si="16"/>
        <v>OK</v>
      </c>
    </row>
    <row r="489" spans="1:15">
      <c r="A489" t="s">
        <v>398</v>
      </c>
      <c r="B489" s="2">
        <v>45700</v>
      </c>
      <c r="C489" t="s">
        <v>20</v>
      </c>
      <c r="D489" t="s">
        <v>29</v>
      </c>
      <c r="E489" t="s">
        <v>22</v>
      </c>
      <c r="F489" t="s">
        <v>23</v>
      </c>
      <c r="G489">
        <v>5</v>
      </c>
      <c r="H489">
        <v>169.07</v>
      </c>
      <c r="I489">
        <v>0.15</v>
      </c>
      <c r="J489">
        <v>718.55</v>
      </c>
      <c r="K489">
        <v>455.08</v>
      </c>
      <c r="L489">
        <v>263.47000000000003</v>
      </c>
      <c r="M489" t="s">
        <v>31</v>
      </c>
      <c r="N489" t="str">
        <f t="shared" si="15"/>
        <v>OK</v>
      </c>
      <c r="O489" s="7" t="str">
        <f t="shared" si="16"/>
        <v>OK</v>
      </c>
    </row>
    <row r="490" spans="1:15">
      <c r="A490" t="s">
        <v>348</v>
      </c>
      <c r="B490" s="2">
        <v>45951</v>
      </c>
      <c r="C490" t="s">
        <v>65</v>
      </c>
      <c r="D490" t="s">
        <v>110</v>
      </c>
      <c r="E490" t="s">
        <v>35</v>
      </c>
      <c r="F490" t="s">
        <v>17</v>
      </c>
      <c r="G490">
        <v>5</v>
      </c>
      <c r="H490">
        <v>157.28</v>
      </c>
      <c r="I490">
        <v>0.05</v>
      </c>
      <c r="J490">
        <v>747.08</v>
      </c>
      <c r="K490">
        <v>526.45000000000005</v>
      </c>
      <c r="L490">
        <v>220.63</v>
      </c>
      <c r="M490" t="s">
        <v>18</v>
      </c>
      <c r="N490" t="str">
        <f t="shared" si="15"/>
        <v>OK</v>
      </c>
      <c r="O490" s="7" t="str">
        <f t="shared" si="16"/>
        <v>OK</v>
      </c>
    </row>
    <row r="491" spans="1:15">
      <c r="A491" t="s">
        <v>286</v>
      </c>
      <c r="B491" s="2">
        <v>45875</v>
      </c>
      <c r="C491" t="s">
        <v>287</v>
      </c>
      <c r="D491" t="s">
        <v>34</v>
      </c>
      <c r="E491" t="s">
        <v>35</v>
      </c>
      <c r="F491" t="s">
        <v>30</v>
      </c>
      <c r="G491">
        <v>5</v>
      </c>
      <c r="H491">
        <v>150.87</v>
      </c>
      <c r="I491">
        <v>0</v>
      </c>
      <c r="J491">
        <v>754.35</v>
      </c>
      <c r="K491">
        <v>425.52</v>
      </c>
      <c r="L491">
        <v>328.83</v>
      </c>
      <c r="M491" t="s">
        <v>18</v>
      </c>
      <c r="N491" t="str">
        <f t="shared" si="15"/>
        <v>OK</v>
      </c>
      <c r="O491" s="7" t="str">
        <f t="shared" si="16"/>
        <v>OK</v>
      </c>
    </row>
    <row r="492" spans="1:15">
      <c r="A492" t="s">
        <v>517</v>
      </c>
      <c r="B492" s="2">
        <v>45809</v>
      </c>
      <c r="C492" t="s">
        <v>518</v>
      </c>
      <c r="D492" t="s">
        <v>45</v>
      </c>
      <c r="E492" t="s">
        <v>22</v>
      </c>
      <c r="F492" t="s">
        <v>30</v>
      </c>
      <c r="G492">
        <v>5</v>
      </c>
      <c r="H492">
        <v>178.94</v>
      </c>
      <c r="I492">
        <v>0.15</v>
      </c>
      <c r="J492">
        <v>760.5</v>
      </c>
      <c r="K492">
        <v>560.51</v>
      </c>
      <c r="L492">
        <v>199.99</v>
      </c>
      <c r="M492" t="s">
        <v>18</v>
      </c>
      <c r="N492" t="str">
        <f t="shared" si="15"/>
        <v>OK</v>
      </c>
      <c r="O492" s="7" t="str">
        <f t="shared" si="16"/>
        <v>OK</v>
      </c>
    </row>
    <row r="493" spans="1:15">
      <c r="A493" t="s">
        <v>485</v>
      </c>
      <c r="B493" s="2">
        <v>45721</v>
      </c>
      <c r="C493" t="s">
        <v>331</v>
      </c>
      <c r="D493" t="s">
        <v>48</v>
      </c>
      <c r="E493" t="s">
        <v>35</v>
      </c>
      <c r="F493" t="s">
        <v>30</v>
      </c>
      <c r="G493">
        <v>5</v>
      </c>
      <c r="H493">
        <v>152.16</v>
      </c>
      <c r="I493">
        <v>0</v>
      </c>
      <c r="J493">
        <v>760.8</v>
      </c>
      <c r="K493">
        <v>516.4</v>
      </c>
      <c r="L493">
        <v>244.4</v>
      </c>
      <c r="M493" t="s">
        <v>18</v>
      </c>
      <c r="N493" t="str">
        <f t="shared" si="15"/>
        <v>OK</v>
      </c>
      <c r="O493" s="7" t="str">
        <f t="shared" si="16"/>
        <v>OK</v>
      </c>
    </row>
    <row r="494" spans="1:15">
      <c r="A494" t="s">
        <v>132</v>
      </c>
      <c r="B494" s="2">
        <v>45853</v>
      </c>
      <c r="C494" t="s">
        <v>120</v>
      </c>
      <c r="D494" t="s">
        <v>110</v>
      </c>
      <c r="E494" t="s">
        <v>35</v>
      </c>
      <c r="F494" t="s">
        <v>30</v>
      </c>
      <c r="G494">
        <v>5</v>
      </c>
      <c r="H494">
        <v>153.32</v>
      </c>
      <c r="I494">
        <v>0</v>
      </c>
      <c r="J494">
        <v>766.6</v>
      </c>
      <c r="K494">
        <v>608.94000000000005</v>
      </c>
      <c r="L494">
        <v>157.66</v>
      </c>
      <c r="M494" t="s">
        <v>18</v>
      </c>
      <c r="N494" t="str">
        <f t="shared" si="15"/>
        <v>OK</v>
      </c>
      <c r="O494" s="7" t="str">
        <f t="shared" si="16"/>
        <v>OK</v>
      </c>
    </row>
    <row r="495" spans="1:15">
      <c r="A495" t="s">
        <v>610</v>
      </c>
      <c r="B495" s="2">
        <v>45905</v>
      </c>
      <c r="C495" t="s">
        <v>253</v>
      </c>
      <c r="D495" t="s">
        <v>110</v>
      </c>
      <c r="E495" t="s">
        <v>35</v>
      </c>
      <c r="F495" t="s">
        <v>23</v>
      </c>
      <c r="G495">
        <v>5</v>
      </c>
      <c r="H495">
        <v>170.49</v>
      </c>
      <c r="I495">
        <v>0.1</v>
      </c>
      <c r="J495">
        <v>767.2</v>
      </c>
      <c r="K495">
        <v>625.19000000000005</v>
      </c>
      <c r="L495">
        <v>142.01</v>
      </c>
      <c r="M495" t="s">
        <v>18</v>
      </c>
      <c r="N495" t="str">
        <f t="shared" si="15"/>
        <v>OK</v>
      </c>
      <c r="O495" s="7" t="str">
        <f t="shared" si="16"/>
        <v>OK</v>
      </c>
    </row>
    <row r="496" spans="1:15">
      <c r="A496" t="s">
        <v>670</v>
      </c>
      <c r="B496" s="2">
        <v>45836</v>
      </c>
      <c r="C496" t="s">
        <v>100</v>
      </c>
      <c r="D496" t="s">
        <v>53</v>
      </c>
      <c r="E496" t="s">
        <v>42</v>
      </c>
      <c r="F496" t="s">
        <v>36</v>
      </c>
      <c r="G496">
        <v>5</v>
      </c>
      <c r="H496">
        <v>175.9</v>
      </c>
      <c r="I496">
        <v>0.1</v>
      </c>
      <c r="J496">
        <v>791.55</v>
      </c>
      <c r="K496">
        <v>524.51</v>
      </c>
      <c r="L496">
        <v>267.04000000000002</v>
      </c>
      <c r="M496" t="s">
        <v>18</v>
      </c>
      <c r="N496" t="str">
        <f t="shared" si="15"/>
        <v>OK</v>
      </c>
      <c r="O496" s="7" t="str">
        <f t="shared" si="16"/>
        <v>OK</v>
      </c>
    </row>
    <row r="497" spans="1:15">
      <c r="A497" t="s">
        <v>169</v>
      </c>
      <c r="B497" s="2">
        <v>45859</v>
      </c>
      <c r="C497" t="s">
        <v>170</v>
      </c>
      <c r="D497" t="s">
        <v>70</v>
      </c>
      <c r="E497" t="s">
        <v>35</v>
      </c>
      <c r="F497" t="s">
        <v>30</v>
      </c>
      <c r="G497">
        <v>5</v>
      </c>
      <c r="H497">
        <v>179.42</v>
      </c>
      <c r="I497">
        <v>0.1</v>
      </c>
      <c r="J497">
        <v>807.39</v>
      </c>
      <c r="K497">
        <v>630.33000000000004</v>
      </c>
      <c r="L497">
        <v>177.06</v>
      </c>
      <c r="M497" t="s">
        <v>31</v>
      </c>
      <c r="N497" t="str">
        <f t="shared" si="15"/>
        <v>OK</v>
      </c>
      <c r="O497" s="7" t="str">
        <f t="shared" si="16"/>
        <v>OK</v>
      </c>
    </row>
    <row r="498" spans="1:15">
      <c r="A498" t="s">
        <v>541</v>
      </c>
      <c r="B498" s="2">
        <v>45722</v>
      </c>
      <c r="C498" t="s">
        <v>259</v>
      </c>
      <c r="D498" t="s">
        <v>21</v>
      </c>
      <c r="E498" t="s">
        <v>22</v>
      </c>
      <c r="F498" t="s">
        <v>17</v>
      </c>
      <c r="G498">
        <v>5</v>
      </c>
      <c r="H498">
        <v>169.76</v>
      </c>
      <c r="I498">
        <v>0</v>
      </c>
      <c r="J498">
        <v>848.8</v>
      </c>
      <c r="K498">
        <v>703.88</v>
      </c>
      <c r="L498">
        <v>144.91999999999999</v>
      </c>
      <c r="M498" t="s">
        <v>18</v>
      </c>
      <c r="N498" t="str">
        <f t="shared" si="15"/>
        <v>OK</v>
      </c>
      <c r="O498" s="7" t="str">
        <f t="shared" si="16"/>
        <v>OK</v>
      </c>
    </row>
    <row r="499" spans="1:15">
      <c r="A499" t="s">
        <v>408</v>
      </c>
      <c r="B499" s="2">
        <v>45786</v>
      </c>
      <c r="C499" t="s">
        <v>20</v>
      </c>
      <c r="D499" t="s">
        <v>41</v>
      </c>
      <c r="E499" t="s">
        <v>42</v>
      </c>
      <c r="F499" t="s">
        <v>23</v>
      </c>
      <c r="G499">
        <v>5</v>
      </c>
      <c r="H499">
        <v>172.47</v>
      </c>
      <c r="I499">
        <v>0</v>
      </c>
      <c r="J499">
        <v>862.35</v>
      </c>
      <c r="K499">
        <v>500.72</v>
      </c>
      <c r="L499">
        <v>361.63</v>
      </c>
      <c r="M499" t="s">
        <v>18</v>
      </c>
      <c r="N499" t="str">
        <f t="shared" si="15"/>
        <v>OK</v>
      </c>
      <c r="O499" s="7" t="str">
        <f t="shared" si="16"/>
        <v>OK</v>
      </c>
    </row>
    <row r="500" spans="1:15">
      <c r="A500" t="s">
        <v>350</v>
      </c>
      <c r="B500" s="2">
        <v>45771</v>
      </c>
      <c r="C500" t="s">
        <v>180</v>
      </c>
      <c r="D500" t="s">
        <v>21</v>
      </c>
      <c r="E500" t="s">
        <v>22</v>
      </c>
      <c r="F500" t="s">
        <v>36</v>
      </c>
      <c r="G500">
        <v>5</v>
      </c>
      <c r="H500">
        <v>173.7</v>
      </c>
      <c r="I500">
        <v>0</v>
      </c>
      <c r="J500">
        <v>868.5</v>
      </c>
      <c r="K500">
        <v>650.05999999999995</v>
      </c>
      <c r="L500">
        <v>218.44</v>
      </c>
      <c r="M500" t="s">
        <v>18</v>
      </c>
      <c r="N500" t="str">
        <f t="shared" si="15"/>
        <v>OK</v>
      </c>
      <c r="O500" s="7" t="str">
        <f t="shared" si="16"/>
        <v>OK</v>
      </c>
    </row>
    <row r="501" spans="1:15">
      <c r="A501" t="s">
        <v>525</v>
      </c>
      <c r="B501" s="2">
        <v>45679</v>
      </c>
      <c r="C501" t="s">
        <v>275</v>
      </c>
      <c r="D501" t="s">
        <v>88</v>
      </c>
      <c r="E501" t="s">
        <v>16</v>
      </c>
      <c r="F501" t="s">
        <v>36</v>
      </c>
      <c r="G501">
        <v>5</v>
      </c>
      <c r="H501">
        <v>175.1</v>
      </c>
      <c r="I501">
        <v>0</v>
      </c>
      <c r="J501">
        <v>875.5</v>
      </c>
      <c r="K501">
        <v>674.32</v>
      </c>
      <c r="L501">
        <v>201.18</v>
      </c>
      <c r="M501" t="s">
        <v>18</v>
      </c>
      <c r="N501" t="str">
        <f t="shared" si="15"/>
        <v>OK</v>
      </c>
      <c r="O501" s="7" t="str">
        <f t="shared" si="16"/>
        <v>OK</v>
      </c>
    </row>
    <row r="502" spans="1:15">
      <c r="A502" t="s">
        <v>450</v>
      </c>
      <c r="B502" s="2">
        <v>45962</v>
      </c>
      <c r="C502" t="s">
        <v>352</v>
      </c>
      <c r="D502" t="s">
        <v>105</v>
      </c>
      <c r="E502" t="s">
        <v>42</v>
      </c>
      <c r="F502" t="s">
        <v>17</v>
      </c>
      <c r="G502">
        <v>5</v>
      </c>
      <c r="H502">
        <v>176.78</v>
      </c>
      <c r="I502">
        <v>0</v>
      </c>
      <c r="J502">
        <v>883.9</v>
      </c>
      <c r="K502">
        <v>659.61</v>
      </c>
      <c r="L502">
        <v>224.29</v>
      </c>
      <c r="M502" t="s">
        <v>18</v>
      </c>
      <c r="N502" t="str">
        <f t="shared" si="15"/>
        <v>OK</v>
      </c>
      <c r="O502" s="7" t="str">
        <f t="shared" si="16"/>
        <v>OK</v>
      </c>
    </row>
    <row r="503" spans="1:15">
      <c r="A503" t="s">
        <v>295</v>
      </c>
      <c r="B503" s="2">
        <v>45772</v>
      </c>
      <c r="C503" t="s">
        <v>102</v>
      </c>
      <c r="D503" t="s">
        <v>48</v>
      </c>
      <c r="E503" t="s">
        <v>35</v>
      </c>
      <c r="F503" t="s">
        <v>23</v>
      </c>
      <c r="G503">
        <v>5</v>
      </c>
      <c r="H503">
        <v>178.53</v>
      </c>
      <c r="I503">
        <v>0</v>
      </c>
      <c r="J503">
        <v>892.65</v>
      </c>
      <c r="K503">
        <v>727.4</v>
      </c>
      <c r="L503">
        <v>165.25</v>
      </c>
      <c r="M503" t="s">
        <v>31</v>
      </c>
      <c r="N503" t="str">
        <f t="shared" si="15"/>
        <v>OK</v>
      </c>
      <c r="O503" s="7" t="str">
        <f t="shared" si="16"/>
        <v>OK</v>
      </c>
    </row>
  </sheetData>
  <conditionalFormatting sqref="A1">
    <cfRule type="duplicateValues" dxfId="34" priority="2"/>
  </conditionalFormatting>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B2" sqref="B2"/>
    </sheetView>
  </sheetViews>
  <sheetFormatPr defaultRowHeight="15"/>
  <cols>
    <col min="1" max="1" width="23.42578125" customWidth="1"/>
    <col min="3" max="3" width="43.85546875" customWidth="1"/>
  </cols>
  <sheetData>
    <row r="1" spans="1:2">
      <c r="A1" s="1" t="s">
        <v>709</v>
      </c>
      <c r="B1" s="1" t="s">
        <v>710</v>
      </c>
    </row>
    <row r="2" spans="1:2">
      <c r="A2" t="s">
        <v>0</v>
      </c>
      <c r="B2" t="s">
        <v>711</v>
      </c>
    </row>
    <row r="3" spans="1:2">
      <c r="A3" t="s">
        <v>1</v>
      </c>
      <c r="B3" t="s">
        <v>712</v>
      </c>
    </row>
    <row r="4" spans="1:2">
      <c r="A4" t="s">
        <v>2</v>
      </c>
      <c r="B4" t="s">
        <v>713</v>
      </c>
    </row>
    <row r="5" spans="1:2">
      <c r="A5" t="s">
        <v>3</v>
      </c>
      <c r="B5" t="s">
        <v>714</v>
      </c>
    </row>
    <row r="6" spans="1:2">
      <c r="A6" t="s">
        <v>4</v>
      </c>
      <c r="B6" t="s">
        <v>715</v>
      </c>
    </row>
    <row r="7" spans="1:2">
      <c r="A7" t="s">
        <v>5</v>
      </c>
      <c r="B7" t="s">
        <v>716</v>
      </c>
    </row>
    <row r="8" spans="1:2">
      <c r="A8" t="s">
        <v>6</v>
      </c>
      <c r="B8" t="s">
        <v>717</v>
      </c>
    </row>
    <row r="9" spans="1:2">
      <c r="A9" t="s">
        <v>7</v>
      </c>
      <c r="B9" t="s">
        <v>718</v>
      </c>
    </row>
    <row r="10" spans="1:2">
      <c r="A10" t="s">
        <v>8</v>
      </c>
      <c r="B10" t="s">
        <v>719</v>
      </c>
    </row>
    <row r="11" spans="1:2">
      <c r="A11" t="s">
        <v>9</v>
      </c>
      <c r="B11" t="s">
        <v>720</v>
      </c>
    </row>
    <row r="12" spans="1:2">
      <c r="A12" t="s">
        <v>10</v>
      </c>
      <c r="B12" t="s">
        <v>721</v>
      </c>
    </row>
    <row r="13" spans="1:2">
      <c r="A13" t="s">
        <v>11</v>
      </c>
      <c r="B13" t="s">
        <v>722</v>
      </c>
    </row>
    <row r="14" spans="1:2">
      <c r="A14" t="s">
        <v>12</v>
      </c>
      <c r="B14" t="s">
        <v>723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00"/>
  <sheetViews>
    <sheetView topLeftCell="A466" workbookViewId="0">
      <selection activeCell="B484" sqref="B484"/>
    </sheetView>
  </sheetViews>
  <sheetFormatPr defaultRowHeight="15"/>
  <cols>
    <col min="1" max="1" width="11.140625" customWidth="1"/>
    <col min="2" max="2" width="29.28515625" customWidth="1"/>
    <col min="3" max="3" width="26" customWidth="1"/>
    <col min="4" max="4" width="30" customWidth="1"/>
    <col min="5" max="5" width="20" customWidth="1"/>
    <col min="6" max="6" width="9.28515625" customWidth="1"/>
    <col min="7" max="7" width="10.85546875" customWidth="1"/>
    <col min="8" max="8" width="12.42578125" customWidth="1"/>
    <col min="9" max="9" width="10.85546875" customWidth="1"/>
    <col min="10" max="10" width="11" customWidth="1"/>
    <col min="13" max="13" width="17.5703125" customWidth="1"/>
    <col min="14" max="14" width="20.140625" customWidth="1"/>
    <col min="15" max="15" width="13.7109375" customWidth="1"/>
    <col min="16" max="16" width="21" style="38" customWidth="1"/>
    <col min="17" max="18" width="18" customWidth="1"/>
    <col min="19" max="19" width="14.5703125" customWidth="1"/>
    <col min="20" max="20" width="10.85546875" customWidth="1"/>
    <col min="21" max="21" width="11" customWidth="1"/>
    <col min="22" max="22" width="10.85546875" customWidth="1"/>
    <col min="25" max="25" width="12.85546875" customWidth="1"/>
    <col min="26" max="26" width="10.28515625" customWidth="1"/>
  </cols>
  <sheetData>
    <row r="1" spans="1:26">
      <c r="A1" s="9" t="s">
        <v>0</v>
      </c>
      <c r="B1" s="9" t="s">
        <v>1</v>
      </c>
      <c r="C1" s="9" t="s">
        <v>2</v>
      </c>
      <c r="D1" s="9" t="s">
        <v>3</v>
      </c>
      <c r="E1" s="9" t="s">
        <v>4</v>
      </c>
      <c r="F1" s="9" t="s">
        <v>5</v>
      </c>
      <c r="G1" s="9" t="s">
        <v>6</v>
      </c>
      <c r="H1" s="9" t="s">
        <v>7</v>
      </c>
      <c r="I1" s="9" t="s">
        <v>8</v>
      </c>
      <c r="J1" s="9" t="s">
        <v>9</v>
      </c>
      <c r="K1" s="9" t="s">
        <v>10</v>
      </c>
      <c r="L1" s="9" t="s">
        <v>11</v>
      </c>
      <c r="M1" s="9" t="s">
        <v>12</v>
      </c>
      <c r="N1" s="9" t="s">
        <v>725</v>
      </c>
      <c r="O1" s="9" t="s">
        <v>726</v>
      </c>
      <c r="P1" s="36" t="s">
        <v>735</v>
      </c>
      <c r="Q1" s="9" t="s">
        <v>736</v>
      </c>
      <c r="R1" s="48"/>
    </row>
    <row r="2" spans="1:26">
      <c r="A2" s="21" t="s">
        <v>199</v>
      </c>
      <c r="B2" s="19">
        <v>46007</v>
      </c>
      <c r="C2" s="16" t="s">
        <v>14</v>
      </c>
      <c r="D2" s="16" t="s">
        <v>70</v>
      </c>
      <c r="E2" s="16" t="s">
        <v>35</v>
      </c>
      <c r="F2" s="16" t="s">
        <v>36</v>
      </c>
      <c r="G2" s="16">
        <v>1</v>
      </c>
      <c r="H2" s="16">
        <v>9.3000000000000007</v>
      </c>
      <c r="I2" s="16">
        <v>0</v>
      </c>
      <c r="J2" s="16">
        <v>9.3000000000000007</v>
      </c>
      <c r="K2" s="16">
        <v>6.13</v>
      </c>
      <c r="L2" s="16">
        <v>3.17</v>
      </c>
      <c r="M2" s="16" t="s">
        <v>24</v>
      </c>
      <c r="N2" s="16" t="s">
        <v>727</v>
      </c>
      <c r="O2" s="17" t="s">
        <v>727</v>
      </c>
      <c r="P2" s="34">
        <f t="shared" ref="P2:P65" si="0">IF(ISNUMBER(B2),INT(B2),"")</f>
        <v>46007</v>
      </c>
      <c r="Q2" s="39" t="str">
        <f t="shared" ref="Q2:Q65" si="1">IF(ISNUMBER(B2),TEXT(B2,"yyyy-mm"),"Invalid/Missing")</f>
        <v>2025-12</v>
      </c>
      <c r="R2" s="49"/>
      <c r="S2" s="28"/>
      <c r="T2" s="28"/>
      <c r="U2" s="28"/>
      <c r="Y2" s="28" t="s">
        <v>8</v>
      </c>
      <c r="Z2" s="26" t="s">
        <v>751</v>
      </c>
    </row>
    <row r="3" spans="1:26" ht="30">
      <c r="A3" s="21" t="s">
        <v>374</v>
      </c>
      <c r="B3" s="19">
        <v>45875</v>
      </c>
      <c r="C3" s="16" t="s">
        <v>375</v>
      </c>
      <c r="D3" s="16" t="s">
        <v>88</v>
      </c>
      <c r="E3" s="16" t="s">
        <v>16</v>
      </c>
      <c r="F3" s="16" t="s">
        <v>36</v>
      </c>
      <c r="G3" s="16">
        <v>1</v>
      </c>
      <c r="H3" s="16">
        <v>10.72</v>
      </c>
      <c r="I3" s="16">
        <v>0</v>
      </c>
      <c r="J3" s="16">
        <v>10.72</v>
      </c>
      <c r="K3" s="16">
        <v>8.5299999999999994</v>
      </c>
      <c r="L3" s="16">
        <v>2.19</v>
      </c>
      <c r="M3" s="16" t="s">
        <v>24</v>
      </c>
      <c r="N3" s="16" t="s">
        <v>727</v>
      </c>
      <c r="O3" s="17" t="s">
        <v>727</v>
      </c>
      <c r="P3" s="35">
        <f t="shared" si="0"/>
        <v>45875</v>
      </c>
      <c r="Q3" s="16" t="str">
        <f t="shared" si="1"/>
        <v>2025-08</v>
      </c>
      <c r="R3" s="16"/>
      <c r="S3" s="16"/>
      <c r="T3" s="27"/>
      <c r="Y3" s="43">
        <v>0</v>
      </c>
      <c r="Z3" s="29" t="s">
        <v>752</v>
      </c>
    </row>
    <row r="4" spans="1:26" ht="30">
      <c r="A4" s="20" t="s">
        <v>351</v>
      </c>
      <c r="B4" s="10">
        <v>45658</v>
      </c>
      <c r="C4" s="11" t="s">
        <v>352</v>
      </c>
      <c r="D4" s="11" t="s">
        <v>45</v>
      </c>
      <c r="E4" s="11" t="s">
        <v>22</v>
      </c>
      <c r="F4" s="11" t="s">
        <v>17</v>
      </c>
      <c r="G4" s="11">
        <v>1</v>
      </c>
      <c r="H4" s="11">
        <v>13.23</v>
      </c>
      <c r="I4" s="11">
        <v>0.15</v>
      </c>
      <c r="J4" s="11">
        <v>11.25</v>
      </c>
      <c r="K4" s="11">
        <v>8.51</v>
      </c>
      <c r="L4" s="11">
        <v>2.74</v>
      </c>
      <c r="M4" s="11" t="s">
        <v>18</v>
      </c>
      <c r="N4" s="11" t="s">
        <v>727</v>
      </c>
      <c r="O4" s="18" t="s">
        <v>727</v>
      </c>
      <c r="P4" s="35">
        <f t="shared" si="0"/>
        <v>45658</v>
      </c>
      <c r="Q4" s="30" t="str">
        <f t="shared" si="1"/>
        <v>2025-01</v>
      </c>
      <c r="R4" s="49"/>
      <c r="S4" s="27"/>
      <c r="T4" s="27"/>
      <c r="U4" s="27"/>
      <c r="Y4" s="43">
        <v>0.05</v>
      </c>
      <c r="Z4" s="29" t="s">
        <v>753</v>
      </c>
    </row>
    <row r="5" spans="1:26" ht="30">
      <c r="A5" s="21" t="s">
        <v>137</v>
      </c>
      <c r="B5" s="19">
        <v>45941</v>
      </c>
      <c r="C5" s="16" t="s">
        <v>138</v>
      </c>
      <c r="D5" s="16" t="s">
        <v>139</v>
      </c>
      <c r="E5" s="16" t="s">
        <v>16</v>
      </c>
      <c r="F5" s="16" t="s">
        <v>23</v>
      </c>
      <c r="G5" s="16">
        <v>1</v>
      </c>
      <c r="H5" s="16">
        <v>17.2</v>
      </c>
      <c r="I5" s="16">
        <v>0.2</v>
      </c>
      <c r="J5" s="16">
        <v>13.76</v>
      </c>
      <c r="K5" s="16">
        <v>11.07</v>
      </c>
      <c r="L5" s="16">
        <v>2.69</v>
      </c>
      <c r="M5" s="16" t="s">
        <v>18</v>
      </c>
      <c r="N5" s="16" t="s">
        <v>727</v>
      </c>
      <c r="O5" s="17" t="s">
        <v>727</v>
      </c>
      <c r="P5" s="35">
        <f t="shared" si="0"/>
        <v>45941</v>
      </c>
      <c r="Q5" s="30" t="str">
        <f t="shared" si="1"/>
        <v>2025-10</v>
      </c>
      <c r="R5" s="49"/>
      <c r="S5" s="27"/>
      <c r="T5" s="27"/>
      <c r="U5" s="27"/>
      <c r="Y5" s="43">
        <v>0.1</v>
      </c>
      <c r="Z5" s="29" t="s">
        <v>754</v>
      </c>
    </row>
    <row r="6" spans="1:26" ht="30">
      <c r="A6" s="20" t="s">
        <v>483</v>
      </c>
      <c r="B6" s="10">
        <v>45782</v>
      </c>
      <c r="C6" s="11" t="s">
        <v>484</v>
      </c>
      <c r="D6" s="11" t="s">
        <v>34</v>
      </c>
      <c r="E6" s="11" t="s">
        <v>35</v>
      </c>
      <c r="F6" s="11" t="s">
        <v>36</v>
      </c>
      <c r="G6" s="11">
        <v>1</v>
      </c>
      <c r="H6" s="11">
        <v>16.28</v>
      </c>
      <c r="I6" s="11">
        <v>0.15</v>
      </c>
      <c r="J6" s="11">
        <v>13.84</v>
      </c>
      <c r="K6" s="11">
        <v>11.15</v>
      </c>
      <c r="L6" s="11">
        <v>2.69</v>
      </c>
      <c r="M6" s="11" t="s">
        <v>18</v>
      </c>
      <c r="N6" s="11" t="s">
        <v>727</v>
      </c>
      <c r="O6" s="18" t="s">
        <v>727</v>
      </c>
      <c r="P6" s="35">
        <f t="shared" si="0"/>
        <v>45782</v>
      </c>
      <c r="Q6" s="30" t="str">
        <f t="shared" si="1"/>
        <v>2025-05</v>
      </c>
      <c r="R6" s="49"/>
      <c r="S6" s="26" t="s">
        <v>3</v>
      </c>
      <c r="T6" s="28" t="s">
        <v>729</v>
      </c>
      <c r="U6" s="28" t="s">
        <v>9</v>
      </c>
      <c r="V6" s="28" t="s">
        <v>6</v>
      </c>
      <c r="W6" s="28" t="s">
        <v>730</v>
      </c>
      <c r="Y6" s="43">
        <v>0.15</v>
      </c>
      <c r="Z6" s="29" t="s">
        <v>755</v>
      </c>
    </row>
    <row r="7" spans="1:26" ht="30">
      <c r="A7" s="21" t="s">
        <v>611</v>
      </c>
      <c r="B7" s="19">
        <v>45794</v>
      </c>
      <c r="C7" s="16" t="s">
        <v>81</v>
      </c>
      <c r="D7" s="16" t="s">
        <v>41</v>
      </c>
      <c r="E7" s="16" t="s">
        <v>42</v>
      </c>
      <c r="F7" s="16" t="s">
        <v>17</v>
      </c>
      <c r="G7" s="16">
        <v>1</v>
      </c>
      <c r="H7" s="16">
        <v>16.68</v>
      </c>
      <c r="I7" s="16">
        <v>0.1</v>
      </c>
      <c r="J7" s="16">
        <v>15.01</v>
      </c>
      <c r="K7" s="16">
        <v>9.99</v>
      </c>
      <c r="L7" s="16">
        <v>5.0199999999999996</v>
      </c>
      <c r="M7" s="16" t="s">
        <v>18</v>
      </c>
      <c r="N7" s="16" t="s">
        <v>727</v>
      </c>
      <c r="O7" s="17" t="s">
        <v>727</v>
      </c>
      <c r="P7" s="35">
        <f t="shared" si="0"/>
        <v>45794</v>
      </c>
      <c r="Q7" s="16" t="str">
        <f t="shared" si="1"/>
        <v>2025-05</v>
      </c>
      <c r="R7" s="50"/>
      <c r="S7" s="29" t="s">
        <v>88</v>
      </c>
      <c r="T7" s="27">
        <f>COUNTIF(D2:D500,"Backpack")</f>
        <v>40</v>
      </c>
      <c r="U7">
        <f>SUMIF(D2:D500,"Backpack",J2:J500)</f>
        <v>11205.220000000001</v>
      </c>
      <c r="V7">
        <f>SUMIF(D2:D500,"Backpack",G2:G500)</f>
        <v>124</v>
      </c>
      <c r="W7" s="27">
        <f t="shared" ref="W7:W22" si="2">U7/T7</f>
        <v>280.13050000000004</v>
      </c>
      <c r="Y7" s="43">
        <v>0.2</v>
      </c>
      <c r="Z7" s="29" t="s">
        <v>756</v>
      </c>
    </row>
    <row r="8" spans="1:26">
      <c r="A8" s="20" t="s">
        <v>323</v>
      </c>
      <c r="B8" s="10">
        <v>46005</v>
      </c>
      <c r="C8" s="11" t="s">
        <v>278</v>
      </c>
      <c r="D8" s="11" t="s">
        <v>110</v>
      </c>
      <c r="E8" s="11" t="s">
        <v>35</v>
      </c>
      <c r="F8" s="11" t="s">
        <v>23</v>
      </c>
      <c r="G8" s="11">
        <v>1</v>
      </c>
      <c r="H8" s="11">
        <v>16.940000000000001</v>
      </c>
      <c r="I8" s="11">
        <v>0.05</v>
      </c>
      <c r="J8" s="11">
        <v>16.09</v>
      </c>
      <c r="K8" s="11">
        <v>12.27</v>
      </c>
      <c r="L8" s="11">
        <v>3.82</v>
      </c>
      <c r="M8" s="11" t="s">
        <v>18</v>
      </c>
      <c r="N8" s="11" t="s">
        <v>727</v>
      </c>
      <c r="O8" s="18" t="s">
        <v>727</v>
      </c>
      <c r="P8" s="35">
        <f t="shared" si="0"/>
        <v>46005</v>
      </c>
      <c r="Q8" s="16" t="str">
        <f t="shared" si="1"/>
        <v>2025-12</v>
      </c>
      <c r="R8" s="50"/>
      <c r="S8" t="s">
        <v>110</v>
      </c>
      <c r="T8" s="27">
        <f>COUNTIF(D2:D497,"Keyboard")</f>
        <v>39</v>
      </c>
      <c r="U8">
        <f>SUMIF(D2:D497,"Keyboard",J2:J497)</f>
        <v>9920.64</v>
      </c>
      <c r="V8">
        <f>SUMIF(D2:D497,"Keyboard",G2:G497)</f>
        <v>109</v>
      </c>
      <c r="W8" s="27">
        <f t="shared" si="2"/>
        <v>254.3753846153846</v>
      </c>
    </row>
    <row r="9" spans="1:26">
      <c r="A9" s="21" t="s">
        <v>504</v>
      </c>
      <c r="B9" s="19">
        <v>45756</v>
      </c>
      <c r="C9" s="16" t="s">
        <v>237</v>
      </c>
      <c r="D9" s="16" t="s">
        <v>88</v>
      </c>
      <c r="E9" s="16" t="s">
        <v>16</v>
      </c>
      <c r="F9" s="16" t="s">
        <v>17</v>
      </c>
      <c r="G9" s="16">
        <v>1</v>
      </c>
      <c r="H9" s="16">
        <v>19.59</v>
      </c>
      <c r="I9" s="16">
        <v>0.05</v>
      </c>
      <c r="J9" s="16">
        <v>18.61</v>
      </c>
      <c r="K9" s="16">
        <v>14.99</v>
      </c>
      <c r="L9" s="16">
        <v>3.62</v>
      </c>
      <c r="M9" s="16" t="s">
        <v>24</v>
      </c>
      <c r="N9" s="16" t="s">
        <v>727</v>
      </c>
      <c r="O9" s="17" t="s">
        <v>727</v>
      </c>
      <c r="P9" s="35">
        <f t="shared" si="0"/>
        <v>45756</v>
      </c>
      <c r="Q9" s="16" t="str">
        <f t="shared" si="1"/>
        <v>2025-04</v>
      </c>
      <c r="R9" s="50"/>
      <c r="S9" t="s">
        <v>70</v>
      </c>
      <c r="T9" s="27">
        <f>COUNTIF(D1:D487,"Wireless Mouse")</f>
        <v>36</v>
      </c>
      <c r="U9">
        <f>SUMIF(D1:D487,"Wireless Mouse",J1:J487)</f>
        <v>7813.9299999999994</v>
      </c>
      <c r="V9">
        <f>SUMIF(D1:D487,"Wireless Mouse",G1:G487)</f>
        <v>107</v>
      </c>
      <c r="W9" s="27">
        <f t="shared" si="2"/>
        <v>217.05361111111108</v>
      </c>
      <c r="Y9">
        <f>SUM(3149.69,3054.34,2967.24,2246,2174.82)</f>
        <v>13592.09</v>
      </c>
    </row>
    <row r="10" spans="1:26">
      <c r="A10" s="20" t="s">
        <v>703</v>
      </c>
      <c r="B10" s="10">
        <v>45865</v>
      </c>
      <c r="C10" s="11" t="s">
        <v>240</v>
      </c>
      <c r="D10" s="11" t="s">
        <v>15</v>
      </c>
      <c r="E10" s="11" t="s">
        <v>16</v>
      </c>
      <c r="F10" s="11" t="s">
        <v>23</v>
      </c>
      <c r="G10" s="11">
        <v>1</v>
      </c>
      <c r="H10" s="11">
        <v>23.31</v>
      </c>
      <c r="I10" s="11">
        <v>0.2</v>
      </c>
      <c r="J10" s="11">
        <v>18.649999999999999</v>
      </c>
      <c r="K10" s="11">
        <v>13.28</v>
      </c>
      <c r="L10" s="11">
        <v>5.37</v>
      </c>
      <c r="M10" s="11" t="s">
        <v>24</v>
      </c>
      <c r="N10" s="11" t="s">
        <v>727</v>
      </c>
      <c r="O10" s="18" t="s">
        <v>727</v>
      </c>
      <c r="P10" s="35">
        <f t="shared" si="0"/>
        <v>45865</v>
      </c>
      <c r="Q10" s="16" t="str">
        <f t="shared" si="1"/>
        <v>2025-07</v>
      </c>
      <c r="R10" s="50"/>
      <c r="S10" t="s">
        <v>41</v>
      </c>
      <c r="T10" s="27">
        <f>COUNTIF(D3:D491,"Storage Box")</f>
        <v>34</v>
      </c>
      <c r="U10">
        <f>SUMIF(D3:D491,"Storage Box",J3:J491)</f>
        <v>9703.07</v>
      </c>
      <c r="V10">
        <f>SUMIF(D3:D491,"Storage Box",G3:G491)</f>
        <v>104</v>
      </c>
      <c r="W10" s="27">
        <f t="shared" si="2"/>
        <v>285.38441176470587</v>
      </c>
      <c r="Y10" s="41">
        <f>13592.09/131404.67</f>
        <v>0.1034368869843058</v>
      </c>
    </row>
    <row r="11" spans="1:26">
      <c r="A11" s="21" t="s">
        <v>247</v>
      </c>
      <c r="B11" s="19">
        <v>45769</v>
      </c>
      <c r="C11" s="16" t="s">
        <v>248</v>
      </c>
      <c r="D11" s="16" t="s">
        <v>15</v>
      </c>
      <c r="E11" s="16" t="s">
        <v>16</v>
      </c>
      <c r="F11" s="16" t="s">
        <v>17</v>
      </c>
      <c r="G11" s="16">
        <v>2</v>
      </c>
      <c r="H11" s="16">
        <v>10.24</v>
      </c>
      <c r="I11" s="16">
        <v>0</v>
      </c>
      <c r="J11" s="16">
        <v>20.48</v>
      </c>
      <c r="K11" s="16">
        <v>12.54</v>
      </c>
      <c r="L11" s="16">
        <v>7.94</v>
      </c>
      <c r="M11" s="16" t="s">
        <v>18</v>
      </c>
      <c r="N11" s="16" t="s">
        <v>727</v>
      </c>
      <c r="O11" s="17" t="s">
        <v>727</v>
      </c>
      <c r="P11" s="35">
        <f t="shared" si="0"/>
        <v>45769</v>
      </c>
      <c r="Q11" s="16" t="str">
        <f t="shared" si="1"/>
        <v>2025-04</v>
      </c>
      <c r="R11" s="50"/>
      <c r="S11" t="s">
        <v>29</v>
      </c>
      <c r="T11" s="27">
        <f>COUNTIF(D4:D493,"Sticky Notes")</f>
        <v>34</v>
      </c>
      <c r="U11">
        <f>SUMIF(D4:D493,"Sticky Notes",J4:J493)</f>
        <v>10459.34</v>
      </c>
      <c r="V11">
        <f>SUMIF(D4:D493,"Sticky Notes",G4:G493)</f>
        <v>101</v>
      </c>
      <c r="W11" s="27">
        <f t="shared" si="2"/>
        <v>307.62764705882353</v>
      </c>
      <c r="Y11" s="41">
        <f>38459.01/131404.67</f>
        <v>0.29267612787277653</v>
      </c>
    </row>
    <row r="12" spans="1:26">
      <c r="A12" s="20" t="s">
        <v>200</v>
      </c>
      <c r="B12" s="10">
        <v>45880</v>
      </c>
      <c r="C12" s="11" t="s">
        <v>168</v>
      </c>
      <c r="D12" s="11" t="s">
        <v>41</v>
      </c>
      <c r="E12" s="11" t="s">
        <v>42</v>
      </c>
      <c r="F12" s="11" t="s">
        <v>36</v>
      </c>
      <c r="G12" s="11">
        <v>1</v>
      </c>
      <c r="H12" s="11">
        <v>21.8</v>
      </c>
      <c r="I12" s="11">
        <v>0.05</v>
      </c>
      <c r="J12" s="11">
        <v>20.71</v>
      </c>
      <c r="K12" s="11">
        <v>13.94</v>
      </c>
      <c r="L12" s="11">
        <v>6.77</v>
      </c>
      <c r="M12" s="11" t="s">
        <v>24</v>
      </c>
      <c r="N12" s="11" t="s">
        <v>727</v>
      </c>
      <c r="O12" s="18" t="s">
        <v>727</v>
      </c>
      <c r="P12" s="35">
        <f t="shared" si="0"/>
        <v>45880</v>
      </c>
      <c r="Q12" s="16" t="str">
        <f t="shared" si="1"/>
        <v>2025-08</v>
      </c>
      <c r="R12" s="50"/>
      <c r="S12" t="s">
        <v>139</v>
      </c>
      <c r="T12" s="27">
        <f>COUNTIF(D2:D500,"Laptop Sleeve")</f>
        <v>33</v>
      </c>
      <c r="U12">
        <f>SUMIF(D2:D500,"Laptop Sleeve",J2:J500)</f>
        <v>8640.41</v>
      </c>
      <c r="V12">
        <f>SUMIF(D2:D500,"Laptop Sleeve",G2:G500)</f>
        <v>98</v>
      </c>
      <c r="W12" s="27">
        <f t="shared" si="2"/>
        <v>261.83060606060604</v>
      </c>
    </row>
    <row r="13" spans="1:26" ht="30">
      <c r="A13" s="21" t="s">
        <v>545</v>
      </c>
      <c r="B13" s="19">
        <v>45758</v>
      </c>
      <c r="C13" s="16" t="s">
        <v>52</v>
      </c>
      <c r="D13" s="16" t="s">
        <v>88</v>
      </c>
      <c r="E13" s="16" t="s">
        <v>16</v>
      </c>
      <c r="F13" s="16" t="s">
        <v>17</v>
      </c>
      <c r="G13" s="16">
        <v>1</v>
      </c>
      <c r="H13" s="16">
        <v>26.12</v>
      </c>
      <c r="I13" s="16">
        <v>0.1</v>
      </c>
      <c r="J13" s="16">
        <v>23.51</v>
      </c>
      <c r="K13" s="16">
        <v>17.47</v>
      </c>
      <c r="L13" s="16">
        <v>6.04</v>
      </c>
      <c r="M13" s="16" t="s">
        <v>18</v>
      </c>
      <c r="N13" s="16" t="s">
        <v>727</v>
      </c>
      <c r="O13" s="17" t="s">
        <v>727</v>
      </c>
      <c r="P13" s="35">
        <f t="shared" si="0"/>
        <v>45758</v>
      </c>
      <c r="Q13" s="16" t="str">
        <f t="shared" si="1"/>
        <v>2025-04</v>
      </c>
      <c r="R13" s="50"/>
      <c r="S13" s="29" t="s">
        <v>15</v>
      </c>
      <c r="T13" s="27">
        <f>COUNTIF(D7:D505,"Cable Organizer")</f>
        <v>33</v>
      </c>
      <c r="U13">
        <f>SUMIF(D7:D505,"Cable Organizer",J7:J505)</f>
        <v>7977.4599999999991</v>
      </c>
      <c r="V13">
        <f>SUMIF(D7:D505,"Cable Organizer",G7:G505)</f>
        <v>94</v>
      </c>
      <c r="W13" s="27">
        <f t="shared" si="2"/>
        <v>241.7412121212121</v>
      </c>
    </row>
    <row r="14" spans="1:26">
      <c r="A14" s="20" t="s">
        <v>171</v>
      </c>
      <c r="B14" s="10">
        <v>45945</v>
      </c>
      <c r="C14" s="11" t="s">
        <v>172</v>
      </c>
      <c r="D14" s="11" t="s">
        <v>110</v>
      </c>
      <c r="E14" s="11" t="s">
        <v>35</v>
      </c>
      <c r="F14" s="11" t="s">
        <v>23</v>
      </c>
      <c r="G14" s="11">
        <v>1</v>
      </c>
      <c r="H14" s="11">
        <v>30.22</v>
      </c>
      <c r="I14" s="11">
        <v>0.2</v>
      </c>
      <c r="J14" s="11">
        <v>24.18</v>
      </c>
      <c r="K14" s="11">
        <v>17.7</v>
      </c>
      <c r="L14" s="11">
        <v>6.48</v>
      </c>
      <c r="M14" s="11" t="s">
        <v>18</v>
      </c>
      <c r="N14" s="11" t="s">
        <v>727</v>
      </c>
      <c r="O14" s="18" t="s">
        <v>727</v>
      </c>
      <c r="P14" s="35">
        <f t="shared" si="0"/>
        <v>45945</v>
      </c>
      <c r="Q14" s="16" t="str">
        <f t="shared" si="1"/>
        <v>2025-10</v>
      </c>
      <c r="R14" s="50"/>
      <c r="S14" t="s">
        <v>21</v>
      </c>
      <c r="T14" s="27">
        <f>COUNTIF(D6:D501,"Notebook")</f>
        <v>32</v>
      </c>
      <c r="U14">
        <f>SUMIF(D6:D501,"Notebook",J6:J501)</f>
        <v>10241.470000000001</v>
      </c>
      <c r="V14">
        <f>SUMIF(D6:D501,"Notebook",G6:G501)</f>
        <v>108</v>
      </c>
      <c r="W14" s="27">
        <f t="shared" si="2"/>
        <v>320.04593750000004</v>
      </c>
    </row>
    <row r="15" spans="1:26">
      <c r="A15" s="21" t="s">
        <v>458</v>
      </c>
      <c r="B15" s="19">
        <v>45884</v>
      </c>
      <c r="C15" s="16" t="s">
        <v>168</v>
      </c>
      <c r="D15" s="16" t="s">
        <v>56</v>
      </c>
      <c r="E15" s="16" t="s">
        <v>16</v>
      </c>
      <c r="F15" s="16" t="s">
        <v>17</v>
      </c>
      <c r="G15" s="16">
        <v>1</v>
      </c>
      <c r="H15" s="16">
        <v>24.19</v>
      </c>
      <c r="I15" s="16">
        <v>0</v>
      </c>
      <c r="J15" s="16">
        <v>24.19</v>
      </c>
      <c r="K15" s="16">
        <v>15.35</v>
      </c>
      <c r="L15" s="16">
        <v>8.84</v>
      </c>
      <c r="M15" s="16" t="s">
        <v>18</v>
      </c>
      <c r="N15" s="16" t="s">
        <v>727</v>
      </c>
      <c r="O15" s="17" t="s">
        <v>727</v>
      </c>
      <c r="P15" s="35">
        <f t="shared" si="0"/>
        <v>45884</v>
      </c>
      <c r="Q15" s="16" t="str">
        <f t="shared" si="1"/>
        <v>2025-08</v>
      </c>
      <c r="R15" s="50"/>
      <c r="S15" t="s">
        <v>77</v>
      </c>
      <c r="T15" s="27">
        <f>COUNTIF(D4:D500,"Pen set")</f>
        <v>31</v>
      </c>
      <c r="U15">
        <f>SUMIF(D4:D500,"Pen Set",J4:J500)</f>
        <v>7263.4400000000005</v>
      </c>
      <c r="V15">
        <f>SUMIF(D4:D500,"Pen Set",G4:G500)</f>
        <v>91</v>
      </c>
      <c r="W15" s="27">
        <f t="shared" si="2"/>
        <v>234.30451612903227</v>
      </c>
    </row>
    <row r="16" spans="1:26">
      <c r="A16" s="20" t="s">
        <v>362</v>
      </c>
      <c r="B16" s="10">
        <v>45949</v>
      </c>
      <c r="C16" s="11" t="s">
        <v>69</v>
      </c>
      <c r="D16" s="11" t="s">
        <v>70</v>
      </c>
      <c r="E16" s="11" t="s">
        <v>35</v>
      </c>
      <c r="F16" s="11" t="s">
        <v>17</v>
      </c>
      <c r="G16" s="11">
        <v>3</v>
      </c>
      <c r="H16" s="11">
        <v>9.3000000000000007</v>
      </c>
      <c r="I16" s="11">
        <v>0.1</v>
      </c>
      <c r="J16" s="11">
        <v>25.11</v>
      </c>
      <c r="K16" s="11">
        <v>20.58</v>
      </c>
      <c r="L16" s="11">
        <v>4.53</v>
      </c>
      <c r="M16" s="11" t="s">
        <v>18</v>
      </c>
      <c r="N16" s="11" t="s">
        <v>727</v>
      </c>
      <c r="O16" s="18" t="s">
        <v>727</v>
      </c>
      <c r="P16" s="35">
        <f t="shared" si="0"/>
        <v>45949</v>
      </c>
      <c r="Q16" s="16" t="str">
        <f t="shared" si="1"/>
        <v>2025-10</v>
      </c>
      <c r="R16" s="50"/>
      <c r="S16" t="s">
        <v>61</v>
      </c>
      <c r="T16" s="27">
        <f>COUNTIF(D5:D495,"Water Bottle")</f>
        <v>30</v>
      </c>
      <c r="U16">
        <f>SUMIF(D5:D495,"Water Bottle",J5:J495)</f>
        <v>7318.5100000000011</v>
      </c>
      <c r="V16">
        <f>SUMIF(D5:D495,"Water Bottle",G5:G495)</f>
        <v>90</v>
      </c>
      <c r="W16" s="27">
        <f t="shared" si="2"/>
        <v>243.95033333333336</v>
      </c>
    </row>
    <row r="17" spans="1:23">
      <c r="A17" s="21" t="s">
        <v>265</v>
      </c>
      <c r="B17" s="19">
        <v>45975</v>
      </c>
      <c r="C17" s="16" t="s">
        <v>266</v>
      </c>
      <c r="D17" s="16" t="s">
        <v>139</v>
      </c>
      <c r="E17" s="16" t="s">
        <v>16</v>
      </c>
      <c r="F17" s="16" t="s">
        <v>23</v>
      </c>
      <c r="G17" s="16">
        <v>1</v>
      </c>
      <c r="H17" s="16">
        <v>31.53</v>
      </c>
      <c r="I17" s="16">
        <v>0.2</v>
      </c>
      <c r="J17" s="16">
        <v>25.22</v>
      </c>
      <c r="K17" s="16">
        <v>17.25</v>
      </c>
      <c r="L17" s="16">
        <v>7.97</v>
      </c>
      <c r="M17" s="16" t="s">
        <v>24</v>
      </c>
      <c r="N17" s="16" t="s">
        <v>727</v>
      </c>
      <c r="O17" s="17" t="s">
        <v>727</v>
      </c>
      <c r="P17" s="35">
        <f t="shared" si="0"/>
        <v>45975</v>
      </c>
      <c r="Q17" s="16" t="str">
        <f t="shared" si="1"/>
        <v>2025-11</v>
      </c>
      <c r="R17" s="50"/>
      <c r="S17" t="s">
        <v>53</v>
      </c>
      <c r="T17" s="27">
        <f>COUNTIF(D5:D503,"Office Chair")</f>
        <v>30</v>
      </c>
      <c r="U17">
        <f>SUMIF(D5:D503,"Office Chair",J5:J503)</f>
        <v>7457.14</v>
      </c>
      <c r="V17">
        <f>SUMIF(D5:D503,"Office Chair",G5:G503)</f>
        <v>85</v>
      </c>
      <c r="W17" s="27">
        <f t="shared" si="2"/>
        <v>248.57133333333334</v>
      </c>
    </row>
    <row r="18" spans="1:23">
      <c r="A18" s="20" t="s">
        <v>565</v>
      </c>
      <c r="B18" s="10">
        <v>45727</v>
      </c>
      <c r="C18" s="11" t="s">
        <v>287</v>
      </c>
      <c r="D18" s="11" t="s">
        <v>15</v>
      </c>
      <c r="E18" s="11" t="s">
        <v>16</v>
      </c>
      <c r="F18" s="11" t="s">
        <v>23</v>
      </c>
      <c r="G18" s="11">
        <v>1</v>
      </c>
      <c r="H18" s="11">
        <v>31.56</v>
      </c>
      <c r="I18" s="11">
        <v>0.2</v>
      </c>
      <c r="J18" s="11">
        <v>25.25</v>
      </c>
      <c r="K18" s="11">
        <v>17.88</v>
      </c>
      <c r="L18" s="11">
        <v>7.37</v>
      </c>
      <c r="M18" s="11" t="s">
        <v>24</v>
      </c>
      <c r="N18" s="11" t="s">
        <v>727</v>
      </c>
      <c r="O18" s="18" t="s">
        <v>727</v>
      </c>
      <c r="P18" s="35">
        <f t="shared" si="0"/>
        <v>45727</v>
      </c>
      <c r="Q18" s="16" t="str">
        <f t="shared" si="1"/>
        <v>2025-03</v>
      </c>
      <c r="R18" s="50"/>
      <c r="S18" t="s">
        <v>45</v>
      </c>
      <c r="T18" s="27">
        <f>COUNTIF(D11:D501,"Planner")</f>
        <v>28</v>
      </c>
      <c r="U18">
        <f>SUMIF(D11:D501,"Planner",J11:J501)</f>
        <v>5902.85</v>
      </c>
      <c r="V18">
        <f>SUMIF(D11:D501,"Planner",G11:G501)</f>
        <v>84</v>
      </c>
      <c r="W18" s="27">
        <f t="shared" si="2"/>
        <v>210.81607142857143</v>
      </c>
    </row>
    <row r="19" spans="1:23">
      <c r="A19" s="21" t="s">
        <v>510</v>
      </c>
      <c r="B19" s="19">
        <v>45724</v>
      </c>
      <c r="C19" s="16"/>
      <c r="D19" s="16" t="s">
        <v>77</v>
      </c>
      <c r="E19" s="16" t="s">
        <v>22</v>
      </c>
      <c r="F19" s="16" t="s">
        <v>30</v>
      </c>
      <c r="G19" s="16">
        <v>1</v>
      </c>
      <c r="H19" s="16">
        <v>26.1</v>
      </c>
      <c r="I19" s="16">
        <v>0</v>
      </c>
      <c r="J19" s="16">
        <v>26.1</v>
      </c>
      <c r="K19" s="16">
        <v>21.97</v>
      </c>
      <c r="L19" s="16">
        <v>4.13</v>
      </c>
      <c r="M19" s="16" t="s">
        <v>18</v>
      </c>
      <c r="N19" s="16" t="s">
        <v>727</v>
      </c>
      <c r="O19" s="17" t="s">
        <v>727</v>
      </c>
      <c r="P19" s="35">
        <f t="shared" si="0"/>
        <v>45724</v>
      </c>
      <c r="Q19" s="16" t="str">
        <f t="shared" si="1"/>
        <v>2025-03</v>
      </c>
      <c r="R19" s="50"/>
      <c r="S19" t="s">
        <v>34</v>
      </c>
      <c r="T19" s="27">
        <f>COUNTIF(D11:D509,"Headphones")</f>
        <v>28</v>
      </c>
      <c r="U19">
        <f>SUMIF(D11:D509,"Headphones",J11:J509)</f>
        <v>7219.1900000000005</v>
      </c>
      <c r="V19">
        <f>SUMIF(D11:D509,"Headphones",G11:G509)</f>
        <v>82</v>
      </c>
      <c r="W19" s="27">
        <f t="shared" si="2"/>
        <v>257.8282142857143</v>
      </c>
    </row>
    <row r="20" spans="1:23">
      <c r="A20" s="20" t="s">
        <v>68</v>
      </c>
      <c r="B20" s="10">
        <v>45882</v>
      </c>
      <c r="C20" s="11" t="s">
        <v>69</v>
      </c>
      <c r="D20" s="11" t="s">
        <v>70</v>
      </c>
      <c r="E20" s="11" t="s">
        <v>35</v>
      </c>
      <c r="F20" s="11" t="s">
        <v>36</v>
      </c>
      <c r="G20" s="11">
        <v>3</v>
      </c>
      <c r="H20" s="11">
        <v>9.1999999999999993</v>
      </c>
      <c r="I20" s="11">
        <v>0.05</v>
      </c>
      <c r="J20" s="11">
        <v>26.22</v>
      </c>
      <c r="K20" s="11">
        <v>17.7</v>
      </c>
      <c r="L20" s="11">
        <v>8.52</v>
      </c>
      <c r="M20" s="11" t="s">
        <v>31</v>
      </c>
      <c r="N20" s="11" t="s">
        <v>727</v>
      </c>
      <c r="O20" s="18" t="s">
        <v>727</v>
      </c>
      <c r="P20" s="35">
        <f t="shared" si="0"/>
        <v>45882</v>
      </c>
      <c r="Q20" s="16" t="str">
        <f t="shared" si="1"/>
        <v>2025-08</v>
      </c>
      <c r="R20" s="50"/>
      <c r="S20" t="s">
        <v>56</v>
      </c>
      <c r="T20" s="27">
        <f>COUNTIF(D12:D504,"Phone stand")</f>
        <v>27</v>
      </c>
      <c r="U20">
        <f>SUMIF(D12:D504,"Phone Stand",J12:J504)</f>
        <v>6450.8099999999986</v>
      </c>
      <c r="V20">
        <f>SUMIF(D12:D504,"Phone Stand",G12:G504)</f>
        <v>79</v>
      </c>
      <c r="W20" s="27">
        <f t="shared" si="2"/>
        <v>238.91888888888883</v>
      </c>
    </row>
    <row r="21" spans="1:23">
      <c r="A21" s="21" t="s">
        <v>336</v>
      </c>
      <c r="B21" s="19">
        <v>45671</v>
      </c>
      <c r="C21" s="16" t="s">
        <v>337</v>
      </c>
      <c r="D21" s="16" t="s">
        <v>34</v>
      </c>
      <c r="E21" s="16" t="s">
        <v>35</v>
      </c>
      <c r="F21" s="16" t="s">
        <v>36</v>
      </c>
      <c r="G21" s="16">
        <v>1</v>
      </c>
      <c r="H21" s="16">
        <v>30.63</v>
      </c>
      <c r="I21" s="16">
        <v>0.1</v>
      </c>
      <c r="J21" s="16">
        <v>27.57</v>
      </c>
      <c r="K21" s="16">
        <v>22.68</v>
      </c>
      <c r="L21" s="16">
        <v>4.8899999999999997</v>
      </c>
      <c r="M21" s="16" t="s">
        <v>18</v>
      </c>
      <c r="N21" s="16" t="s">
        <v>727</v>
      </c>
      <c r="O21" s="17" t="s">
        <v>727</v>
      </c>
      <c r="P21" s="35">
        <f t="shared" si="0"/>
        <v>45671</v>
      </c>
      <c r="Q21" s="16" t="str">
        <f t="shared" si="1"/>
        <v>2025-01</v>
      </c>
      <c r="R21" s="50"/>
      <c r="S21" t="s">
        <v>48</v>
      </c>
      <c r="T21" s="27">
        <f>COUNTIF(D14:D501,"USB Hub")</f>
        <v>22</v>
      </c>
      <c r="U21">
        <f>SUMIF(D14:D501,"USB Hub",J14:J501)</f>
        <v>6493.97</v>
      </c>
      <c r="V21">
        <f>SUMIF(D14:D501,"USB Hub",G14:G501)</f>
        <v>76</v>
      </c>
      <c r="W21" s="27">
        <f t="shared" si="2"/>
        <v>295.18045454545455</v>
      </c>
    </row>
    <row r="22" spans="1:23">
      <c r="A22" s="20" t="s">
        <v>688</v>
      </c>
      <c r="B22" s="10">
        <v>45862</v>
      </c>
      <c r="C22" s="11" t="s">
        <v>682</v>
      </c>
      <c r="D22" s="11" t="s">
        <v>56</v>
      </c>
      <c r="E22" s="11" t="s">
        <v>16</v>
      </c>
      <c r="F22" s="11" t="s">
        <v>36</v>
      </c>
      <c r="G22" s="11">
        <v>4</v>
      </c>
      <c r="H22" s="11">
        <v>8.11</v>
      </c>
      <c r="I22" s="11">
        <v>0.15</v>
      </c>
      <c r="J22" s="11">
        <v>27.57</v>
      </c>
      <c r="K22" s="11">
        <v>21.72</v>
      </c>
      <c r="L22" s="11">
        <v>5.85</v>
      </c>
      <c r="M22" s="11" t="s">
        <v>24</v>
      </c>
      <c r="N22" s="11" t="s">
        <v>727</v>
      </c>
      <c r="O22" s="18" t="s">
        <v>727</v>
      </c>
      <c r="P22" s="35">
        <f t="shared" si="0"/>
        <v>45862</v>
      </c>
      <c r="Q22" s="16" t="str">
        <f t="shared" si="1"/>
        <v>2025-07</v>
      </c>
      <c r="R22" s="50"/>
      <c r="S22" s="29" t="s">
        <v>105</v>
      </c>
      <c r="T22" s="27">
        <f>COUNTIF(D16:D513,"Desk Lamp")</f>
        <v>18</v>
      </c>
      <c r="U22">
        <f>SUMIF(D16:D513,"Desk Lamp",J16:J513)</f>
        <v>5642.3899999999994</v>
      </c>
      <c r="V22">
        <f>SUMIF(D16:D513,"Desk Lamp",G16:G513)</f>
        <v>57</v>
      </c>
      <c r="W22" s="27">
        <f t="shared" si="2"/>
        <v>313.4661111111111</v>
      </c>
    </row>
    <row r="23" spans="1:23">
      <c r="A23" s="21" t="s">
        <v>524</v>
      </c>
      <c r="B23" s="19">
        <v>45720</v>
      </c>
      <c r="C23" s="16" t="s">
        <v>224</v>
      </c>
      <c r="D23" s="16" t="s">
        <v>48</v>
      </c>
      <c r="E23" s="16" t="s">
        <v>35</v>
      </c>
      <c r="F23" s="16" t="s">
        <v>17</v>
      </c>
      <c r="G23" s="16">
        <v>4</v>
      </c>
      <c r="H23" s="16">
        <v>8.5399999999999991</v>
      </c>
      <c r="I23" s="16">
        <v>0.1</v>
      </c>
      <c r="J23" s="16">
        <v>30.74</v>
      </c>
      <c r="K23" s="16">
        <v>19.66</v>
      </c>
      <c r="L23" s="16">
        <v>11.08</v>
      </c>
      <c r="M23" s="16" t="s">
        <v>18</v>
      </c>
      <c r="N23" s="16" t="s">
        <v>727</v>
      </c>
      <c r="O23" s="17" t="s">
        <v>727</v>
      </c>
      <c r="P23" s="35">
        <f t="shared" si="0"/>
        <v>45720</v>
      </c>
      <c r="Q23" s="16" t="str">
        <f t="shared" si="1"/>
        <v>2025-03</v>
      </c>
      <c r="R23" s="50"/>
    </row>
    <row r="24" spans="1:23">
      <c r="A24" s="20" t="s">
        <v>235</v>
      </c>
      <c r="B24" s="10">
        <v>45720</v>
      </c>
      <c r="C24" s="11" t="s">
        <v>38</v>
      </c>
      <c r="D24" s="11" t="s">
        <v>105</v>
      </c>
      <c r="E24" s="11" t="s">
        <v>42</v>
      </c>
      <c r="F24" s="11" t="s">
        <v>30</v>
      </c>
      <c r="G24" s="11">
        <v>1</v>
      </c>
      <c r="H24" s="11">
        <v>38.619999999999997</v>
      </c>
      <c r="I24" s="11">
        <v>0.2</v>
      </c>
      <c r="J24" s="11">
        <v>30.9</v>
      </c>
      <c r="K24" s="11">
        <v>18.37</v>
      </c>
      <c r="L24" s="11">
        <v>12.53</v>
      </c>
      <c r="M24" s="11" t="s">
        <v>24</v>
      </c>
      <c r="N24" s="11" t="s">
        <v>727</v>
      </c>
      <c r="O24" s="18" t="s">
        <v>727</v>
      </c>
      <c r="P24" s="35">
        <f t="shared" si="0"/>
        <v>45720</v>
      </c>
      <c r="Q24" s="16" t="str">
        <f t="shared" si="1"/>
        <v>2025-03</v>
      </c>
      <c r="R24" s="50"/>
    </row>
    <row r="25" spans="1:23">
      <c r="A25" s="21" t="s">
        <v>80</v>
      </c>
      <c r="B25" s="19">
        <v>45805</v>
      </c>
      <c r="C25" s="16" t="s">
        <v>81</v>
      </c>
      <c r="D25" s="16" t="s">
        <v>29</v>
      </c>
      <c r="E25" s="16" t="s">
        <v>22</v>
      </c>
      <c r="F25" s="16" t="s">
        <v>17</v>
      </c>
      <c r="G25" s="16">
        <v>1</v>
      </c>
      <c r="H25" s="16">
        <v>33.92</v>
      </c>
      <c r="I25" s="16">
        <v>0.05</v>
      </c>
      <c r="J25" s="16">
        <v>32.22</v>
      </c>
      <c r="K25" s="16">
        <v>24.45</v>
      </c>
      <c r="L25" s="16">
        <v>7.77</v>
      </c>
      <c r="M25" s="16" t="s">
        <v>18</v>
      </c>
      <c r="N25" s="16" t="s">
        <v>727</v>
      </c>
      <c r="O25" s="17" t="s">
        <v>727</v>
      </c>
      <c r="P25" s="35">
        <f t="shared" si="0"/>
        <v>45805</v>
      </c>
      <c r="Q25" s="16" t="str">
        <f t="shared" si="1"/>
        <v>2025-05</v>
      </c>
      <c r="R25" s="50"/>
    </row>
    <row r="26" spans="1:23">
      <c r="A26" s="20" t="s">
        <v>577</v>
      </c>
      <c r="B26" s="10">
        <v>45725</v>
      </c>
      <c r="C26" s="11" t="s">
        <v>79</v>
      </c>
      <c r="D26" s="11" t="s">
        <v>110</v>
      </c>
      <c r="E26" s="11" t="s">
        <v>35</v>
      </c>
      <c r="F26" s="11" t="s">
        <v>23</v>
      </c>
      <c r="G26" s="11">
        <v>1</v>
      </c>
      <c r="H26" s="11">
        <v>38.14</v>
      </c>
      <c r="I26" s="11">
        <v>0.15</v>
      </c>
      <c r="J26" s="11">
        <v>32.42</v>
      </c>
      <c r="K26" s="11">
        <v>20.58</v>
      </c>
      <c r="L26" s="11">
        <v>11.84</v>
      </c>
      <c r="M26" s="11" t="s">
        <v>31</v>
      </c>
      <c r="N26" s="11" t="s">
        <v>727</v>
      </c>
      <c r="O26" s="18" t="s">
        <v>727</v>
      </c>
      <c r="P26" s="35">
        <f t="shared" si="0"/>
        <v>45725</v>
      </c>
      <c r="Q26" s="16" t="str">
        <f t="shared" si="1"/>
        <v>2025-03</v>
      </c>
      <c r="R26" s="50"/>
    </row>
    <row r="27" spans="1:23">
      <c r="A27" s="21" t="s">
        <v>308</v>
      </c>
      <c r="B27" s="19">
        <v>45945</v>
      </c>
      <c r="C27" s="16" t="s">
        <v>20</v>
      </c>
      <c r="D27" s="16" t="s">
        <v>88</v>
      </c>
      <c r="E27" s="16" t="s">
        <v>16</v>
      </c>
      <c r="F27" s="16" t="s">
        <v>17</v>
      </c>
      <c r="G27" s="16">
        <v>1</v>
      </c>
      <c r="H27" s="16">
        <v>36.14</v>
      </c>
      <c r="I27" s="16">
        <v>0.1</v>
      </c>
      <c r="J27" s="16">
        <v>32.53</v>
      </c>
      <c r="K27" s="16">
        <v>24.66</v>
      </c>
      <c r="L27" s="16">
        <v>7.87</v>
      </c>
      <c r="M27" s="16" t="s">
        <v>24</v>
      </c>
      <c r="N27" s="16" t="s">
        <v>727</v>
      </c>
      <c r="O27" s="17" t="s">
        <v>727</v>
      </c>
      <c r="P27" s="35">
        <f t="shared" si="0"/>
        <v>45945</v>
      </c>
      <c r="Q27" s="16" t="str">
        <f t="shared" si="1"/>
        <v>2025-10</v>
      </c>
      <c r="R27" s="50"/>
    </row>
    <row r="28" spans="1:23">
      <c r="A28" s="20" t="s">
        <v>264</v>
      </c>
      <c r="B28" s="10">
        <v>45932</v>
      </c>
      <c r="C28" s="11" t="s">
        <v>55</v>
      </c>
      <c r="D28" s="11" t="s">
        <v>56</v>
      </c>
      <c r="E28" s="11" t="s">
        <v>16</v>
      </c>
      <c r="F28" s="11" t="s">
        <v>23</v>
      </c>
      <c r="G28" s="11">
        <v>5</v>
      </c>
      <c r="H28" s="11">
        <v>8.4</v>
      </c>
      <c r="I28" s="11">
        <v>0.2</v>
      </c>
      <c r="J28" s="11">
        <v>33.6</v>
      </c>
      <c r="K28" s="11">
        <v>18.53</v>
      </c>
      <c r="L28" s="11">
        <v>15.07</v>
      </c>
      <c r="M28" s="11" t="s">
        <v>24</v>
      </c>
      <c r="N28" s="11" t="s">
        <v>727</v>
      </c>
      <c r="O28" s="18" t="s">
        <v>727</v>
      </c>
      <c r="P28" s="35">
        <f t="shared" si="0"/>
        <v>45932</v>
      </c>
      <c r="Q28" s="16" t="str">
        <f t="shared" si="1"/>
        <v>2025-10</v>
      </c>
      <c r="R28" s="50"/>
    </row>
    <row r="29" spans="1:23">
      <c r="A29" s="21" t="s">
        <v>572</v>
      </c>
      <c r="B29" s="19">
        <v>45691</v>
      </c>
      <c r="C29" s="16" t="s">
        <v>83</v>
      </c>
      <c r="D29" s="16" t="s">
        <v>15</v>
      </c>
      <c r="E29" s="16" t="s">
        <v>16</v>
      </c>
      <c r="F29" s="16" t="s">
        <v>23</v>
      </c>
      <c r="G29" s="16">
        <v>5</v>
      </c>
      <c r="H29" s="16">
        <v>8.08</v>
      </c>
      <c r="I29" s="16">
        <v>0.15</v>
      </c>
      <c r="J29" s="16">
        <v>34.340000000000003</v>
      </c>
      <c r="K29" s="16">
        <v>20.47</v>
      </c>
      <c r="L29" s="16">
        <v>13.87</v>
      </c>
      <c r="M29" s="16" t="s">
        <v>18</v>
      </c>
      <c r="N29" s="16" t="s">
        <v>727</v>
      </c>
      <c r="O29" s="17" t="s">
        <v>727</v>
      </c>
      <c r="P29" s="35">
        <f t="shared" si="0"/>
        <v>45691</v>
      </c>
      <c r="Q29" s="16" t="str">
        <f t="shared" si="1"/>
        <v>2025-02</v>
      </c>
      <c r="R29" s="50"/>
    </row>
    <row r="30" spans="1:23">
      <c r="A30" s="20" t="s">
        <v>325</v>
      </c>
      <c r="B30" s="10">
        <v>45744</v>
      </c>
      <c r="C30" s="11" t="s">
        <v>268</v>
      </c>
      <c r="D30" s="11" t="s">
        <v>139</v>
      </c>
      <c r="E30" s="11" t="s">
        <v>16</v>
      </c>
      <c r="F30" s="11" t="s">
        <v>30</v>
      </c>
      <c r="G30" s="11">
        <v>1</v>
      </c>
      <c r="H30" s="11">
        <v>36.21</v>
      </c>
      <c r="I30" s="11">
        <v>0.05</v>
      </c>
      <c r="J30" s="11">
        <v>34.4</v>
      </c>
      <c r="K30" s="11">
        <v>26.4</v>
      </c>
      <c r="L30" s="11">
        <v>8</v>
      </c>
      <c r="M30" s="11" t="s">
        <v>24</v>
      </c>
      <c r="N30" s="11" t="s">
        <v>727</v>
      </c>
      <c r="O30" s="18" t="s">
        <v>727</v>
      </c>
      <c r="P30" s="35">
        <f t="shared" si="0"/>
        <v>45744</v>
      </c>
      <c r="Q30" s="16" t="str">
        <f t="shared" si="1"/>
        <v>2025-03</v>
      </c>
      <c r="R30" s="50"/>
    </row>
    <row r="31" spans="1:23">
      <c r="A31" s="21" t="s">
        <v>597</v>
      </c>
      <c r="B31" s="19">
        <v>45970</v>
      </c>
      <c r="C31" s="16" t="s">
        <v>285</v>
      </c>
      <c r="D31" s="16" t="s">
        <v>56</v>
      </c>
      <c r="E31" s="16" t="s">
        <v>16</v>
      </c>
      <c r="F31" s="16" t="s">
        <v>17</v>
      </c>
      <c r="G31" s="16">
        <v>1</v>
      </c>
      <c r="H31" s="16">
        <v>35.049999999999997</v>
      </c>
      <c r="I31" s="16">
        <v>0</v>
      </c>
      <c r="J31" s="16">
        <v>35.049999999999997</v>
      </c>
      <c r="K31" s="16">
        <v>22.33</v>
      </c>
      <c r="L31" s="16">
        <v>12.72</v>
      </c>
      <c r="M31" s="16" t="s">
        <v>18</v>
      </c>
      <c r="N31" s="16" t="s">
        <v>727</v>
      </c>
      <c r="O31" s="17" t="s">
        <v>727</v>
      </c>
      <c r="P31" s="35">
        <f t="shared" si="0"/>
        <v>45970</v>
      </c>
      <c r="Q31" s="16" t="str">
        <f t="shared" si="1"/>
        <v>2025-11</v>
      </c>
      <c r="R31" s="50"/>
    </row>
    <row r="32" spans="1:23">
      <c r="A32" s="20" t="s">
        <v>382</v>
      </c>
      <c r="B32" s="10">
        <v>45802</v>
      </c>
      <c r="C32" s="11" t="s">
        <v>383</v>
      </c>
      <c r="D32" s="11" t="s">
        <v>139</v>
      </c>
      <c r="E32" s="11" t="s">
        <v>16</v>
      </c>
      <c r="F32" s="11" t="s">
        <v>23</v>
      </c>
      <c r="G32" s="11">
        <v>1</v>
      </c>
      <c r="H32" s="11">
        <v>37.32</v>
      </c>
      <c r="I32" s="11">
        <v>0.05</v>
      </c>
      <c r="J32" s="11">
        <v>35.450000000000003</v>
      </c>
      <c r="K32" s="11">
        <v>23.99</v>
      </c>
      <c r="L32" s="11">
        <v>11.46</v>
      </c>
      <c r="M32" s="11" t="s">
        <v>24</v>
      </c>
      <c r="N32" s="11" t="s">
        <v>727</v>
      </c>
      <c r="O32" s="18" t="s">
        <v>727</v>
      </c>
      <c r="P32" s="35">
        <f t="shared" si="0"/>
        <v>45802</v>
      </c>
      <c r="Q32" s="16" t="str">
        <f t="shared" si="1"/>
        <v>2025-05</v>
      </c>
      <c r="R32" s="50"/>
    </row>
    <row r="33" spans="1:18">
      <c r="A33" s="21" t="s">
        <v>190</v>
      </c>
      <c r="B33" s="19">
        <v>45910</v>
      </c>
      <c r="C33" s="16" t="s">
        <v>191</v>
      </c>
      <c r="D33" s="16" t="s">
        <v>139</v>
      </c>
      <c r="E33" s="16" t="s">
        <v>16</v>
      </c>
      <c r="F33" s="16" t="s">
        <v>17</v>
      </c>
      <c r="G33" s="16">
        <v>5</v>
      </c>
      <c r="H33" s="16">
        <v>8.4499999999999993</v>
      </c>
      <c r="I33" s="16">
        <v>0.15</v>
      </c>
      <c r="J33" s="16">
        <v>35.909999999999997</v>
      </c>
      <c r="K33" s="16">
        <v>20.66</v>
      </c>
      <c r="L33" s="16">
        <v>15.25</v>
      </c>
      <c r="M33" s="16" t="s">
        <v>18</v>
      </c>
      <c r="N33" s="16" t="s">
        <v>727</v>
      </c>
      <c r="O33" s="17" t="s">
        <v>727</v>
      </c>
      <c r="P33" s="35">
        <f t="shared" si="0"/>
        <v>45910</v>
      </c>
      <c r="Q33" s="16" t="str">
        <f t="shared" si="1"/>
        <v>2025-09</v>
      </c>
      <c r="R33" s="50"/>
    </row>
    <row r="34" spans="1:18">
      <c r="A34" s="20" t="s">
        <v>97</v>
      </c>
      <c r="B34" s="10">
        <v>45849</v>
      </c>
      <c r="C34" s="11" t="s">
        <v>98</v>
      </c>
      <c r="D34" s="11" t="s">
        <v>15</v>
      </c>
      <c r="E34" s="11" t="s">
        <v>16</v>
      </c>
      <c r="F34" s="11" t="s">
        <v>23</v>
      </c>
      <c r="G34" s="11">
        <v>1</v>
      </c>
      <c r="H34" s="11">
        <v>41.58</v>
      </c>
      <c r="I34" s="11">
        <v>0.1</v>
      </c>
      <c r="J34" s="11">
        <v>37.42</v>
      </c>
      <c r="K34" s="11">
        <v>23.73</v>
      </c>
      <c r="L34" s="11">
        <v>13.69</v>
      </c>
      <c r="M34" s="11" t="s">
        <v>18</v>
      </c>
      <c r="N34" s="11" t="s">
        <v>727</v>
      </c>
      <c r="O34" s="18" t="s">
        <v>727</v>
      </c>
      <c r="P34" s="35">
        <f t="shared" si="0"/>
        <v>45849</v>
      </c>
      <c r="Q34" s="16" t="str">
        <f t="shared" si="1"/>
        <v>2025-07</v>
      </c>
      <c r="R34" s="50"/>
    </row>
    <row r="35" spans="1:18">
      <c r="A35" s="21" t="s">
        <v>532</v>
      </c>
      <c r="B35" s="19">
        <v>45979</v>
      </c>
      <c r="C35" s="16" t="s">
        <v>196</v>
      </c>
      <c r="D35" s="16" t="s">
        <v>139</v>
      </c>
      <c r="E35" s="16" t="s">
        <v>16</v>
      </c>
      <c r="F35" s="16" t="s">
        <v>23</v>
      </c>
      <c r="G35" s="16">
        <v>2</v>
      </c>
      <c r="H35" s="16">
        <v>21.22</v>
      </c>
      <c r="I35" s="16">
        <v>0.05</v>
      </c>
      <c r="J35" s="16">
        <v>40.32</v>
      </c>
      <c r="K35" s="16">
        <v>31.79</v>
      </c>
      <c r="L35" s="16">
        <v>8.5299999999999994</v>
      </c>
      <c r="M35" s="16" t="s">
        <v>24</v>
      </c>
      <c r="N35" s="16" t="s">
        <v>727</v>
      </c>
      <c r="O35" s="17" t="s">
        <v>727</v>
      </c>
      <c r="P35" s="35">
        <f t="shared" si="0"/>
        <v>45979</v>
      </c>
      <c r="Q35" s="16" t="str">
        <f t="shared" si="1"/>
        <v>2025-11</v>
      </c>
      <c r="R35" s="50"/>
    </row>
    <row r="36" spans="1:18">
      <c r="A36" s="20" t="s">
        <v>570</v>
      </c>
      <c r="B36" s="10">
        <v>45912</v>
      </c>
      <c r="C36" s="11" t="s">
        <v>342</v>
      </c>
      <c r="D36" s="11" t="s">
        <v>105</v>
      </c>
      <c r="E36" s="11" t="s">
        <v>42</v>
      </c>
      <c r="F36" s="11" t="s">
        <v>30</v>
      </c>
      <c r="G36" s="11">
        <v>4</v>
      </c>
      <c r="H36" s="11">
        <v>10.08</v>
      </c>
      <c r="I36" s="11">
        <v>0</v>
      </c>
      <c r="J36" s="11">
        <v>40.32</v>
      </c>
      <c r="K36" s="11">
        <v>26.49</v>
      </c>
      <c r="L36" s="11">
        <v>13.83</v>
      </c>
      <c r="M36" s="11" t="s">
        <v>24</v>
      </c>
      <c r="N36" s="11" t="s">
        <v>727</v>
      </c>
      <c r="O36" s="18" t="s">
        <v>727</v>
      </c>
      <c r="P36" s="35">
        <f t="shared" si="0"/>
        <v>45912</v>
      </c>
      <c r="Q36" s="16" t="str">
        <f t="shared" si="1"/>
        <v>2025-09</v>
      </c>
      <c r="R36" s="50"/>
    </row>
    <row r="37" spans="1:18">
      <c r="A37" s="21" t="s">
        <v>615</v>
      </c>
      <c r="B37" s="19">
        <v>45956</v>
      </c>
      <c r="C37" s="16" t="s">
        <v>107</v>
      </c>
      <c r="D37" s="16" t="s">
        <v>70</v>
      </c>
      <c r="E37" s="16" t="s">
        <v>35</v>
      </c>
      <c r="F37" s="16" t="s">
        <v>36</v>
      </c>
      <c r="G37" s="16">
        <v>4</v>
      </c>
      <c r="H37" s="16">
        <v>10.36</v>
      </c>
      <c r="I37" s="16">
        <v>0</v>
      </c>
      <c r="J37" s="16">
        <v>41.44</v>
      </c>
      <c r="K37" s="16">
        <v>25.46</v>
      </c>
      <c r="L37" s="16">
        <v>15.98</v>
      </c>
      <c r="M37" s="16" t="s">
        <v>31</v>
      </c>
      <c r="N37" s="16" t="s">
        <v>727</v>
      </c>
      <c r="O37" s="17" t="s">
        <v>727</v>
      </c>
      <c r="P37" s="35">
        <f t="shared" si="0"/>
        <v>45956</v>
      </c>
      <c r="Q37" s="16" t="str">
        <f t="shared" si="1"/>
        <v>2025-10</v>
      </c>
      <c r="R37" s="50"/>
    </row>
    <row r="38" spans="1:18">
      <c r="A38" s="20" t="s">
        <v>84</v>
      </c>
      <c r="B38" s="10">
        <v>45801</v>
      </c>
      <c r="C38" s="11" t="s">
        <v>85</v>
      </c>
      <c r="D38" s="11" t="s">
        <v>21</v>
      </c>
      <c r="E38" s="11" t="s">
        <v>22</v>
      </c>
      <c r="F38" s="11" t="s">
        <v>23</v>
      </c>
      <c r="G38" s="11">
        <v>1</v>
      </c>
      <c r="H38" s="11">
        <v>43.96</v>
      </c>
      <c r="I38" s="11">
        <v>0.05</v>
      </c>
      <c r="J38" s="11">
        <v>41.76</v>
      </c>
      <c r="K38" s="11">
        <v>31.68</v>
      </c>
      <c r="L38" s="11">
        <v>10.08</v>
      </c>
      <c r="M38" s="11" t="s">
        <v>24</v>
      </c>
      <c r="N38" s="11" t="s">
        <v>727</v>
      </c>
      <c r="O38" s="18" t="s">
        <v>727</v>
      </c>
      <c r="P38" s="35">
        <f t="shared" si="0"/>
        <v>45801</v>
      </c>
      <c r="Q38" s="16" t="str">
        <f t="shared" si="1"/>
        <v>2025-05</v>
      </c>
      <c r="R38" s="50"/>
    </row>
    <row r="39" spans="1:18">
      <c r="A39" s="21" t="s">
        <v>209</v>
      </c>
      <c r="B39" s="19">
        <v>45751</v>
      </c>
      <c r="C39" s="16" t="s">
        <v>210</v>
      </c>
      <c r="D39" s="16" t="s">
        <v>21</v>
      </c>
      <c r="E39" s="16" t="s">
        <v>22</v>
      </c>
      <c r="F39" s="16" t="s">
        <v>30</v>
      </c>
      <c r="G39" s="16">
        <v>5</v>
      </c>
      <c r="H39" s="16">
        <v>8.4700000000000006</v>
      </c>
      <c r="I39" s="16">
        <v>0</v>
      </c>
      <c r="J39" s="16">
        <v>42.35</v>
      </c>
      <c r="K39" s="16">
        <v>29.3</v>
      </c>
      <c r="L39" s="16">
        <v>13.05</v>
      </c>
      <c r="M39" s="16" t="s">
        <v>18</v>
      </c>
      <c r="N39" s="16" t="s">
        <v>727</v>
      </c>
      <c r="O39" s="17" t="s">
        <v>727</v>
      </c>
      <c r="P39" s="35">
        <f t="shared" si="0"/>
        <v>45751</v>
      </c>
      <c r="Q39" s="16" t="str">
        <f t="shared" si="1"/>
        <v>2025-04</v>
      </c>
      <c r="R39" s="50"/>
    </row>
    <row r="40" spans="1:18">
      <c r="A40" s="20" t="s">
        <v>456</v>
      </c>
      <c r="B40" s="10">
        <v>45871</v>
      </c>
      <c r="C40" s="11" t="s">
        <v>282</v>
      </c>
      <c r="D40" s="11" t="s">
        <v>45</v>
      </c>
      <c r="E40" s="11" t="s">
        <v>22</v>
      </c>
      <c r="F40" s="11" t="s">
        <v>23</v>
      </c>
      <c r="G40" s="11">
        <v>1</v>
      </c>
      <c r="H40" s="11">
        <v>42.63</v>
      </c>
      <c r="I40" s="11">
        <v>0</v>
      </c>
      <c r="J40" s="11">
        <v>42.63</v>
      </c>
      <c r="K40" s="11">
        <v>25.55</v>
      </c>
      <c r="L40" s="11">
        <v>17.079999999999998</v>
      </c>
      <c r="M40" s="11" t="s">
        <v>24</v>
      </c>
      <c r="N40" s="11" t="s">
        <v>727</v>
      </c>
      <c r="O40" s="18" t="s">
        <v>727</v>
      </c>
      <c r="P40" s="35">
        <f t="shared" si="0"/>
        <v>45871</v>
      </c>
      <c r="Q40" s="16" t="str">
        <f t="shared" si="1"/>
        <v>2025-08</v>
      </c>
      <c r="R40" s="50"/>
    </row>
    <row r="41" spans="1:18">
      <c r="A41" s="21" t="s">
        <v>119</v>
      </c>
      <c r="B41" s="19">
        <v>45786</v>
      </c>
      <c r="C41" s="16" t="s">
        <v>120</v>
      </c>
      <c r="D41" s="16" t="s">
        <v>15</v>
      </c>
      <c r="E41" s="16" t="s">
        <v>16</v>
      </c>
      <c r="F41" s="16" t="s">
        <v>36</v>
      </c>
      <c r="G41" s="16">
        <v>2</v>
      </c>
      <c r="H41" s="16">
        <v>21.49</v>
      </c>
      <c r="I41" s="16">
        <v>0</v>
      </c>
      <c r="J41" s="16">
        <v>42.98</v>
      </c>
      <c r="K41" s="16">
        <v>36.049999999999997</v>
      </c>
      <c r="L41" s="16">
        <v>6.93</v>
      </c>
      <c r="M41" s="16" t="s">
        <v>18</v>
      </c>
      <c r="N41" s="16" t="s">
        <v>727</v>
      </c>
      <c r="O41" s="17" t="s">
        <v>727</v>
      </c>
      <c r="P41" s="35">
        <f t="shared" si="0"/>
        <v>45786</v>
      </c>
      <c r="Q41" s="16" t="str">
        <f t="shared" si="1"/>
        <v>2025-05</v>
      </c>
      <c r="R41" s="50"/>
    </row>
    <row r="42" spans="1:18">
      <c r="A42" s="20" t="s">
        <v>651</v>
      </c>
      <c r="B42" s="10">
        <v>45830</v>
      </c>
      <c r="C42" s="11" t="s">
        <v>472</v>
      </c>
      <c r="D42" s="11" t="s">
        <v>41</v>
      </c>
      <c r="E42" s="11" t="s">
        <v>42</v>
      </c>
      <c r="F42" s="11" t="s">
        <v>30</v>
      </c>
      <c r="G42" s="11">
        <v>1</v>
      </c>
      <c r="H42" s="11">
        <v>53.42</v>
      </c>
      <c r="I42" s="11">
        <v>0.15</v>
      </c>
      <c r="J42" s="11">
        <v>45.41</v>
      </c>
      <c r="K42" s="11">
        <v>33.64</v>
      </c>
      <c r="L42" s="11">
        <v>11.77</v>
      </c>
      <c r="M42" s="11" t="s">
        <v>18</v>
      </c>
      <c r="N42" s="11" t="s">
        <v>727</v>
      </c>
      <c r="O42" s="18" t="s">
        <v>727</v>
      </c>
      <c r="P42" s="35">
        <f t="shared" si="0"/>
        <v>45830</v>
      </c>
      <c r="Q42" s="16" t="str">
        <f t="shared" si="1"/>
        <v>2025-06</v>
      </c>
      <c r="R42" s="50"/>
    </row>
    <row r="43" spans="1:18">
      <c r="A43" s="21" t="s">
        <v>346</v>
      </c>
      <c r="B43" s="19">
        <v>45956</v>
      </c>
      <c r="C43" s="16" t="s">
        <v>347</v>
      </c>
      <c r="D43" s="16" t="s">
        <v>70</v>
      </c>
      <c r="E43" s="16" t="s">
        <v>35</v>
      </c>
      <c r="F43" s="16" t="s">
        <v>36</v>
      </c>
      <c r="G43" s="16">
        <v>3</v>
      </c>
      <c r="H43" s="16">
        <v>15.15</v>
      </c>
      <c r="I43" s="16">
        <v>0</v>
      </c>
      <c r="J43" s="16">
        <v>45.45</v>
      </c>
      <c r="K43" s="16">
        <v>38.450000000000003</v>
      </c>
      <c r="L43" s="16">
        <v>7</v>
      </c>
      <c r="M43" s="16" t="s">
        <v>18</v>
      </c>
      <c r="N43" s="16" t="s">
        <v>727</v>
      </c>
      <c r="O43" s="17" t="s">
        <v>727</v>
      </c>
      <c r="P43" s="35">
        <f t="shared" si="0"/>
        <v>45956</v>
      </c>
      <c r="Q43" s="16" t="str">
        <f t="shared" si="1"/>
        <v>2025-10</v>
      </c>
      <c r="R43" s="50"/>
    </row>
    <row r="44" spans="1:18">
      <c r="A44" s="20" t="s">
        <v>534</v>
      </c>
      <c r="B44" s="10">
        <v>45970</v>
      </c>
      <c r="C44" s="11" t="s">
        <v>535</v>
      </c>
      <c r="D44" s="11" t="s">
        <v>70</v>
      </c>
      <c r="E44" s="11" t="s">
        <v>35</v>
      </c>
      <c r="F44" s="11" t="s">
        <v>36</v>
      </c>
      <c r="G44" s="11">
        <v>1</v>
      </c>
      <c r="H44" s="11">
        <v>45.72</v>
      </c>
      <c r="I44" s="11">
        <v>0</v>
      </c>
      <c r="J44" s="11">
        <v>45.72</v>
      </c>
      <c r="K44" s="11">
        <v>28.09</v>
      </c>
      <c r="L44" s="11">
        <v>17.63</v>
      </c>
      <c r="M44" s="11" t="s">
        <v>18</v>
      </c>
      <c r="N44" s="11" t="s">
        <v>727</v>
      </c>
      <c r="O44" s="18" t="s">
        <v>727</v>
      </c>
      <c r="P44" s="35">
        <f t="shared" si="0"/>
        <v>45970</v>
      </c>
      <c r="Q44" s="16" t="str">
        <f t="shared" si="1"/>
        <v>2025-11</v>
      </c>
      <c r="R44" s="50"/>
    </row>
    <row r="45" spans="1:18">
      <c r="A45" s="21" t="s">
        <v>136</v>
      </c>
      <c r="B45" s="19">
        <v>45874</v>
      </c>
      <c r="C45" s="16" t="s">
        <v>63</v>
      </c>
      <c r="D45" s="16" t="s">
        <v>34</v>
      </c>
      <c r="E45" s="16" t="s">
        <v>35</v>
      </c>
      <c r="F45" s="16" t="s">
        <v>30</v>
      </c>
      <c r="G45" s="16">
        <v>1</v>
      </c>
      <c r="H45" s="16">
        <v>48.98</v>
      </c>
      <c r="I45" s="16">
        <v>0.05</v>
      </c>
      <c r="J45" s="16">
        <v>46.53</v>
      </c>
      <c r="K45" s="16">
        <v>33.049999999999997</v>
      </c>
      <c r="L45" s="16">
        <v>13.48</v>
      </c>
      <c r="M45" s="16" t="s">
        <v>24</v>
      </c>
      <c r="N45" s="16" t="s">
        <v>727</v>
      </c>
      <c r="O45" s="17" t="s">
        <v>727</v>
      </c>
      <c r="P45" s="35">
        <f t="shared" si="0"/>
        <v>45874</v>
      </c>
      <c r="Q45" s="16" t="str">
        <f t="shared" si="1"/>
        <v>2025-08</v>
      </c>
      <c r="R45" s="50"/>
    </row>
    <row r="46" spans="1:18">
      <c r="A46" s="20" t="s">
        <v>51</v>
      </c>
      <c r="B46" s="10">
        <v>45690</v>
      </c>
      <c r="C46" s="11" t="s">
        <v>52</v>
      </c>
      <c r="D46" s="11" t="s">
        <v>53</v>
      </c>
      <c r="E46" s="11" t="s">
        <v>42</v>
      </c>
      <c r="F46" s="11" t="s">
        <v>17</v>
      </c>
      <c r="G46" s="11">
        <v>2</v>
      </c>
      <c r="H46" s="11">
        <v>27.93</v>
      </c>
      <c r="I46" s="11">
        <v>0.15</v>
      </c>
      <c r="J46" s="11">
        <v>47.48</v>
      </c>
      <c r="K46" s="11">
        <v>34.99</v>
      </c>
      <c r="L46" s="11">
        <v>12.49</v>
      </c>
      <c r="M46" s="11" t="s">
        <v>18</v>
      </c>
      <c r="N46" s="11" t="s">
        <v>727</v>
      </c>
      <c r="O46" s="18" t="s">
        <v>727</v>
      </c>
      <c r="P46" s="35">
        <f t="shared" si="0"/>
        <v>45690</v>
      </c>
      <c r="Q46" s="16" t="str">
        <f t="shared" si="1"/>
        <v>2025-02</v>
      </c>
      <c r="R46" s="50"/>
    </row>
    <row r="47" spans="1:18">
      <c r="A47" s="21" t="s">
        <v>589</v>
      </c>
      <c r="B47" s="19">
        <v>45981</v>
      </c>
      <c r="C47" s="16" t="s">
        <v>52</v>
      </c>
      <c r="D47" s="16" t="s">
        <v>53</v>
      </c>
      <c r="E47" s="16" t="s">
        <v>42</v>
      </c>
      <c r="F47" s="16" t="s">
        <v>23</v>
      </c>
      <c r="G47" s="16">
        <v>1</v>
      </c>
      <c r="H47" s="16">
        <v>54.24</v>
      </c>
      <c r="I47" s="16">
        <v>0.1</v>
      </c>
      <c r="J47" s="16">
        <v>48.82</v>
      </c>
      <c r="K47" s="16">
        <v>33.909999999999997</v>
      </c>
      <c r="L47" s="16">
        <v>14.91</v>
      </c>
      <c r="M47" s="16" t="s">
        <v>18</v>
      </c>
      <c r="N47" s="16" t="s">
        <v>727</v>
      </c>
      <c r="O47" s="17" t="s">
        <v>727</v>
      </c>
      <c r="P47" s="35">
        <f t="shared" si="0"/>
        <v>45981</v>
      </c>
      <c r="Q47" s="16" t="str">
        <f t="shared" si="1"/>
        <v>2025-11</v>
      </c>
      <c r="R47" s="50"/>
    </row>
    <row r="48" spans="1:18">
      <c r="A48" s="20" t="s">
        <v>482</v>
      </c>
      <c r="B48" s="10">
        <v>45799</v>
      </c>
      <c r="C48" s="11" t="s">
        <v>33</v>
      </c>
      <c r="D48" s="11" t="s">
        <v>48</v>
      </c>
      <c r="E48" s="11" t="s">
        <v>35</v>
      </c>
      <c r="F48" s="11" t="s">
        <v>17</v>
      </c>
      <c r="G48" s="11">
        <v>1</v>
      </c>
      <c r="H48" s="11">
        <v>49.61</v>
      </c>
      <c r="I48" s="11">
        <v>0</v>
      </c>
      <c r="J48" s="11">
        <v>49.61</v>
      </c>
      <c r="K48" s="11">
        <v>34.26</v>
      </c>
      <c r="L48" s="11">
        <v>15.35</v>
      </c>
      <c r="M48" s="11" t="s">
        <v>18</v>
      </c>
      <c r="N48" s="11" t="s">
        <v>727</v>
      </c>
      <c r="O48" s="18" t="s">
        <v>727</v>
      </c>
      <c r="P48" s="35">
        <f t="shared" si="0"/>
        <v>45799</v>
      </c>
      <c r="Q48" s="16" t="str">
        <f t="shared" si="1"/>
        <v>2025-05</v>
      </c>
      <c r="R48" s="50"/>
    </row>
    <row r="49" spans="1:18">
      <c r="A49" s="21" t="s">
        <v>422</v>
      </c>
      <c r="B49" s="19">
        <v>45783</v>
      </c>
      <c r="C49" s="16" t="s">
        <v>377</v>
      </c>
      <c r="D49" s="16" t="s">
        <v>139</v>
      </c>
      <c r="E49" s="16" t="s">
        <v>16</v>
      </c>
      <c r="F49" s="16" t="s">
        <v>36</v>
      </c>
      <c r="G49" s="16">
        <v>1</v>
      </c>
      <c r="H49" s="16">
        <v>52.45</v>
      </c>
      <c r="I49" s="16">
        <v>0.05</v>
      </c>
      <c r="J49" s="16">
        <v>49.83</v>
      </c>
      <c r="K49" s="16">
        <v>36.92</v>
      </c>
      <c r="L49" s="16">
        <v>12.91</v>
      </c>
      <c r="M49" s="16" t="s">
        <v>31</v>
      </c>
      <c r="N49" s="16" t="s">
        <v>727</v>
      </c>
      <c r="O49" s="17" t="s">
        <v>727</v>
      </c>
      <c r="P49" s="35">
        <f t="shared" si="0"/>
        <v>45783</v>
      </c>
      <c r="Q49" s="16" t="str">
        <f t="shared" si="1"/>
        <v>2025-05</v>
      </c>
      <c r="R49" s="50"/>
    </row>
    <row r="50" spans="1:18">
      <c r="A50" s="20" t="s">
        <v>592</v>
      </c>
      <c r="B50" s="10">
        <v>45965</v>
      </c>
      <c r="C50" s="11" t="s">
        <v>359</v>
      </c>
      <c r="D50" s="11" t="s">
        <v>110</v>
      </c>
      <c r="E50" s="11" t="s">
        <v>35</v>
      </c>
      <c r="F50" s="11" t="s">
        <v>30</v>
      </c>
      <c r="G50" s="11">
        <v>3</v>
      </c>
      <c r="H50" s="11">
        <v>16.93</v>
      </c>
      <c r="I50" s="11">
        <v>0</v>
      </c>
      <c r="J50" s="11">
        <v>50.79</v>
      </c>
      <c r="K50" s="11">
        <v>31.19</v>
      </c>
      <c r="L50" s="11">
        <v>19.600000000000001</v>
      </c>
      <c r="M50" s="11" t="s">
        <v>24</v>
      </c>
      <c r="N50" s="11" t="s">
        <v>727</v>
      </c>
      <c r="O50" s="18" t="s">
        <v>727</v>
      </c>
      <c r="P50" s="35">
        <f t="shared" si="0"/>
        <v>45965</v>
      </c>
      <c r="Q50" s="16" t="str">
        <f t="shared" si="1"/>
        <v>2025-11</v>
      </c>
      <c r="R50" s="50"/>
    </row>
    <row r="51" spans="1:18">
      <c r="A51" s="21" t="s">
        <v>669</v>
      </c>
      <c r="B51" s="19">
        <v>45773</v>
      </c>
      <c r="C51" s="16" t="s">
        <v>383</v>
      </c>
      <c r="D51" s="16" t="s">
        <v>56</v>
      </c>
      <c r="E51" s="16" t="s">
        <v>16</v>
      </c>
      <c r="F51" s="16" t="s">
        <v>36</v>
      </c>
      <c r="G51" s="16">
        <v>4</v>
      </c>
      <c r="H51" s="16">
        <v>13.46</v>
      </c>
      <c r="I51" s="16">
        <v>0.05</v>
      </c>
      <c r="J51" s="16">
        <v>51.15</v>
      </c>
      <c r="K51" s="16">
        <v>29.43</v>
      </c>
      <c r="L51" s="16">
        <v>21.72</v>
      </c>
      <c r="M51" s="16" t="s">
        <v>24</v>
      </c>
      <c r="N51" s="16" t="s">
        <v>727</v>
      </c>
      <c r="O51" s="17" t="s">
        <v>727</v>
      </c>
      <c r="P51" s="35">
        <f t="shared" si="0"/>
        <v>45773</v>
      </c>
      <c r="Q51" s="16" t="str">
        <f t="shared" si="1"/>
        <v>2025-04</v>
      </c>
      <c r="R51" s="50"/>
    </row>
    <row r="52" spans="1:18">
      <c r="A52" s="20" t="s">
        <v>481</v>
      </c>
      <c r="B52" s="10">
        <v>45777</v>
      </c>
      <c r="C52" s="11" t="s">
        <v>147</v>
      </c>
      <c r="D52" s="11" t="s">
        <v>34</v>
      </c>
      <c r="E52" s="11" t="s">
        <v>35</v>
      </c>
      <c r="F52" s="11" t="s">
        <v>30</v>
      </c>
      <c r="G52" s="11">
        <v>1</v>
      </c>
      <c r="H52" s="11">
        <v>60.42</v>
      </c>
      <c r="I52" s="11">
        <v>0.15</v>
      </c>
      <c r="J52" s="11">
        <v>51.36</v>
      </c>
      <c r="K52" s="11">
        <v>32.590000000000003</v>
      </c>
      <c r="L52" s="11">
        <v>18.77</v>
      </c>
      <c r="M52" s="11" t="s">
        <v>24</v>
      </c>
      <c r="N52" s="11" t="s">
        <v>727</v>
      </c>
      <c r="O52" s="18" t="s">
        <v>727</v>
      </c>
      <c r="P52" s="35">
        <f t="shared" si="0"/>
        <v>45777</v>
      </c>
      <c r="Q52" s="16" t="str">
        <f t="shared" si="1"/>
        <v>2025-04</v>
      </c>
      <c r="R52" s="50"/>
    </row>
    <row r="53" spans="1:18">
      <c r="A53" s="21" t="s">
        <v>403</v>
      </c>
      <c r="B53" s="19">
        <v>45664</v>
      </c>
      <c r="C53" s="16" t="s">
        <v>218</v>
      </c>
      <c r="D53" s="16" t="s">
        <v>77</v>
      </c>
      <c r="E53" s="16" t="s">
        <v>22</v>
      </c>
      <c r="F53" s="16" t="s">
        <v>23</v>
      </c>
      <c r="G53" s="16">
        <v>2</v>
      </c>
      <c r="H53" s="16">
        <v>30.48</v>
      </c>
      <c r="I53" s="16">
        <v>0.15</v>
      </c>
      <c r="J53" s="16">
        <v>51.82</v>
      </c>
      <c r="K53" s="16">
        <v>35.49</v>
      </c>
      <c r="L53" s="16">
        <v>16.329999999999998</v>
      </c>
      <c r="M53" s="16" t="s">
        <v>31</v>
      </c>
      <c r="N53" s="16" t="s">
        <v>727</v>
      </c>
      <c r="O53" s="17" t="s">
        <v>727</v>
      </c>
      <c r="P53" s="35">
        <f t="shared" si="0"/>
        <v>45664</v>
      </c>
      <c r="Q53" s="16" t="str">
        <f t="shared" si="1"/>
        <v>2025-01</v>
      </c>
      <c r="R53" s="50"/>
    </row>
    <row r="54" spans="1:18">
      <c r="A54" s="20" t="s">
        <v>239</v>
      </c>
      <c r="B54" s="10">
        <v>45770</v>
      </c>
      <c r="C54" s="11" t="s">
        <v>240</v>
      </c>
      <c r="D54" s="11" t="s">
        <v>61</v>
      </c>
      <c r="E54" s="11" t="s">
        <v>42</v>
      </c>
      <c r="F54" s="11" t="s">
        <v>36</v>
      </c>
      <c r="G54" s="11">
        <v>3</v>
      </c>
      <c r="H54" s="11">
        <v>19.3</v>
      </c>
      <c r="I54" s="11">
        <v>0.1</v>
      </c>
      <c r="J54" s="11">
        <v>52.11</v>
      </c>
      <c r="K54" s="11">
        <v>35.75</v>
      </c>
      <c r="L54" s="11">
        <v>16.36</v>
      </c>
      <c r="M54" s="11" t="s">
        <v>18</v>
      </c>
      <c r="N54" s="11" t="s">
        <v>727</v>
      </c>
      <c r="O54" s="18" t="s">
        <v>727</v>
      </c>
      <c r="P54" s="35">
        <f t="shared" si="0"/>
        <v>45770</v>
      </c>
      <c r="Q54" s="16" t="str">
        <f t="shared" si="1"/>
        <v>2025-04</v>
      </c>
      <c r="R54" s="50"/>
    </row>
    <row r="55" spans="1:18">
      <c r="A55" s="21" t="s">
        <v>604</v>
      </c>
      <c r="B55" s="19">
        <v>45876</v>
      </c>
      <c r="C55" s="16" t="s">
        <v>280</v>
      </c>
      <c r="D55" s="16" t="s">
        <v>110</v>
      </c>
      <c r="E55" s="16" t="s">
        <v>35</v>
      </c>
      <c r="F55" s="16" t="s">
        <v>23</v>
      </c>
      <c r="G55" s="16">
        <v>2</v>
      </c>
      <c r="H55" s="16">
        <v>27.49</v>
      </c>
      <c r="I55" s="16">
        <v>0.05</v>
      </c>
      <c r="J55" s="16">
        <v>52.23</v>
      </c>
      <c r="K55" s="16">
        <v>40.29</v>
      </c>
      <c r="L55" s="16">
        <v>11.94</v>
      </c>
      <c r="M55" s="16" t="s">
        <v>18</v>
      </c>
      <c r="N55" s="16" t="s">
        <v>727</v>
      </c>
      <c r="O55" s="17" t="s">
        <v>727</v>
      </c>
      <c r="P55" s="35">
        <f t="shared" si="0"/>
        <v>45876</v>
      </c>
      <c r="Q55" s="16" t="str">
        <f t="shared" si="1"/>
        <v>2025-08</v>
      </c>
      <c r="R55" s="50"/>
    </row>
    <row r="56" spans="1:18">
      <c r="A56" s="20" t="s">
        <v>520</v>
      </c>
      <c r="B56" s="10">
        <v>45841</v>
      </c>
      <c r="C56" s="11" t="s">
        <v>204</v>
      </c>
      <c r="D56" s="11" t="s">
        <v>105</v>
      </c>
      <c r="E56" s="11" t="s">
        <v>42</v>
      </c>
      <c r="F56" s="11" t="s">
        <v>30</v>
      </c>
      <c r="G56" s="11">
        <v>4</v>
      </c>
      <c r="H56" s="11">
        <v>14.53</v>
      </c>
      <c r="I56" s="11">
        <v>0.1</v>
      </c>
      <c r="J56" s="11">
        <v>52.31</v>
      </c>
      <c r="K56" s="11">
        <v>37.39</v>
      </c>
      <c r="L56" s="11">
        <v>14.92</v>
      </c>
      <c r="M56" s="11" t="s">
        <v>31</v>
      </c>
      <c r="N56" s="11" t="s">
        <v>727</v>
      </c>
      <c r="O56" s="18" t="s">
        <v>727</v>
      </c>
      <c r="P56" s="35">
        <f t="shared" si="0"/>
        <v>45841</v>
      </c>
      <c r="Q56" s="16" t="str">
        <f t="shared" si="1"/>
        <v>2025-07</v>
      </c>
      <c r="R56" s="50"/>
    </row>
    <row r="57" spans="1:18">
      <c r="A57" s="21" t="s">
        <v>681</v>
      </c>
      <c r="B57" s="19">
        <v>46022</v>
      </c>
      <c r="C57" s="16" t="s">
        <v>682</v>
      </c>
      <c r="D57" s="16" t="s">
        <v>15</v>
      </c>
      <c r="E57" s="16" t="s">
        <v>16</v>
      </c>
      <c r="F57" s="16" t="s">
        <v>30</v>
      </c>
      <c r="G57" s="16">
        <v>2</v>
      </c>
      <c r="H57" s="16">
        <v>29.2</v>
      </c>
      <c r="I57" s="16">
        <v>0.1</v>
      </c>
      <c r="J57" s="16">
        <v>52.56</v>
      </c>
      <c r="K57" s="16">
        <v>35.47</v>
      </c>
      <c r="L57" s="16">
        <v>17.09</v>
      </c>
      <c r="M57" s="16" t="s">
        <v>31</v>
      </c>
      <c r="N57" s="16" t="s">
        <v>727</v>
      </c>
      <c r="O57" s="17" t="s">
        <v>727</v>
      </c>
      <c r="P57" s="35">
        <f t="shared" si="0"/>
        <v>46022</v>
      </c>
      <c r="Q57" s="16" t="str">
        <f t="shared" si="1"/>
        <v>2025-12</v>
      </c>
      <c r="R57" s="50"/>
    </row>
    <row r="58" spans="1:18">
      <c r="A58" s="20" t="s">
        <v>706</v>
      </c>
      <c r="B58" s="10">
        <v>45701</v>
      </c>
      <c r="C58" s="11" t="s">
        <v>166</v>
      </c>
      <c r="D58" s="11" t="s">
        <v>56</v>
      </c>
      <c r="E58" s="11" t="s">
        <v>16</v>
      </c>
      <c r="F58" s="11" t="s">
        <v>17</v>
      </c>
      <c r="G58" s="11">
        <v>3</v>
      </c>
      <c r="H58" s="11">
        <v>17.559999999999999</v>
      </c>
      <c r="I58" s="11">
        <v>0</v>
      </c>
      <c r="J58" s="11">
        <v>52.68</v>
      </c>
      <c r="K58" s="11">
        <v>32.33</v>
      </c>
      <c r="L58" s="11">
        <v>20.350000000000001</v>
      </c>
      <c r="M58" s="11" t="s">
        <v>31</v>
      </c>
      <c r="N58" s="11" t="s">
        <v>727</v>
      </c>
      <c r="O58" s="18" t="s">
        <v>727</v>
      </c>
      <c r="P58" s="35">
        <f t="shared" si="0"/>
        <v>45701</v>
      </c>
      <c r="Q58" s="16" t="str">
        <f t="shared" si="1"/>
        <v>2025-02</v>
      </c>
      <c r="R58" s="50"/>
    </row>
    <row r="59" spans="1:18">
      <c r="A59" s="22" t="s">
        <v>415</v>
      </c>
      <c r="B59" s="23">
        <v>45706</v>
      </c>
      <c r="C59" s="24" t="s">
        <v>109</v>
      </c>
      <c r="D59" s="24" t="s">
        <v>29</v>
      </c>
      <c r="E59" s="24" t="s">
        <v>22</v>
      </c>
      <c r="F59" s="24" t="s">
        <v>36</v>
      </c>
      <c r="G59" s="24">
        <v>1</v>
      </c>
      <c r="H59" s="24">
        <v>58.82</v>
      </c>
      <c r="I59" s="24">
        <v>0.1</v>
      </c>
      <c r="J59" s="24">
        <v>52.94</v>
      </c>
      <c r="K59" s="24">
        <v>39.04</v>
      </c>
      <c r="L59" s="24">
        <v>13.9</v>
      </c>
      <c r="M59" s="24" t="s">
        <v>18</v>
      </c>
      <c r="N59" s="24" t="s">
        <v>727</v>
      </c>
      <c r="O59" s="25" t="s">
        <v>727</v>
      </c>
      <c r="P59" s="35">
        <f t="shared" si="0"/>
        <v>45706</v>
      </c>
      <c r="Q59" s="16" t="str">
        <f t="shared" si="1"/>
        <v>2025-02</v>
      </c>
      <c r="R59" s="50"/>
    </row>
    <row r="60" spans="1:18">
      <c r="A60" s="21" t="s">
        <v>162</v>
      </c>
      <c r="B60" s="19">
        <v>45703</v>
      </c>
      <c r="C60" s="16" t="s">
        <v>131</v>
      </c>
      <c r="D60" s="16" t="s">
        <v>45</v>
      </c>
      <c r="E60" s="16" t="s">
        <v>22</v>
      </c>
      <c r="F60" s="16" t="s">
        <v>30</v>
      </c>
      <c r="G60" s="16">
        <v>1</v>
      </c>
      <c r="H60" s="16">
        <v>56.12</v>
      </c>
      <c r="I60" s="16">
        <v>0.05</v>
      </c>
      <c r="J60" s="16">
        <v>53.31</v>
      </c>
      <c r="K60" s="16">
        <v>38.96</v>
      </c>
      <c r="L60" s="16">
        <v>14.35</v>
      </c>
      <c r="M60" s="16" t="s">
        <v>31</v>
      </c>
      <c r="N60" s="16" t="s">
        <v>727</v>
      </c>
      <c r="O60" s="17" t="s">
        <v>727</v>
      </c>
      <c r="P60" s="35">
        <f t="shared" si="0"/>
        <v>45703</v>
      </c>
      <c r="Q60" s="16" t="str">
        <f t="shared" si="1"/>
        <v>2025-02</v>
      </c>
      <c r="R60" s="50"/>
    </row>
    <row r="61" spans="1:18">
      <c r="A61" s="20" t="s">
        <v>699</v>
      </c>
      <c r="B61" s="10">
        <v>45772</v>
      </c>
      <c r="C61" s="11" t="s">
        <v>112</v>
      </c>
      <c r="D61" s="11" t="s">
        <v>45</v>
      </c>
      <c r="E61" s="11" t="s">
        <v>22</v>
      </c>
      <c r="F61" s="11" t="s">
        <v>23</v>
      </c>
      <c r="G61" s="11">
        <v>1</v>
      </c>
      <c r="H61" s="11">
        <v>56.64</v>
      </c>
      <c r="I61" s="11">
        <v>0.05</v>
      </c>
      <c r="J61" s="11">
        <v>53.81</v>
      </c>
      <c r="K61" s="11">
        <v>34.32</v>
      </c>
      <c r="L61" s="11">
        <v>19.489999999999998</v>
      </c>
      <c r="M61" s="11" t="s">
        <v>31</v>
      </c>
      <c r="N61" s="11" t="s">
        <v>727</v>
      </c>
      <c r="O61" s="18" t="s">
        <v>727</v>
      </c>
      <c r="P61" s="35">
        <f t="shared" si="0"/>
        <v>45772</v>
      </c>
      <c r="Q61" s="16" t="str">
        <f t="shared" si="1"/>
        <v>2025-04</v>
      </c>
      <c r="R61" s="50"/>
    </row>
    <row r="62" spans="1:18">
      <c r="A62" s="21" t="s">
        <v>665</v>
      </c>
      <c r="B62" s="19">
        <v>45769</v>
      </c>
      <c r="C62" s="16" t="s">
        <v>371</v>
      </c>
      <c r="D62" s="16" t="s">
        <v>21</v>
      </c>
      <c r="E62" s="16" t="s">
        <v>22</v>
      </c>
      <c r="F62" s="16" t="s">
        <v>17</v>
      </c>
      <c r="G62" s="16">
        <v>4</v>
      </c>
      <c r="H62" s="16">
        <v>15.28</v>
      </c>
      <c r="I62" s="16">
        <v>0.1</v>
      </c>
      <c r="J62" s="16">
        <v>55.01</v>
      </c>
      <c r="K62" s="16">
        <v>37.729999999999997</v>
      </c>
      <c r="L62" s="16">
        <v>17.28</v>
      </c>
      <c r="M62" s="16" t="s">
        <v>18</v>
      </c>
      <c r="N62" s="16" t="s">
        <v>727</v>
      </c>
      <c r="O62" s="17" t="s">
        <v>727</v>
      </c>
      <c r="P62" s="35">
        <f t="shared" si="0"/>
        <v>45769</v>
      </c>
      <c r="Q62" s="16" t="str">
        <f t="shared" si="1"/>
        <v>2025-04</v>
      </c>
      <c r="R62" s="50"/>
    </row>
    <row r="63" spans="1:18">
      <c r="A63" s="20" t="s">
        <v>66</v>
      </c>
      <c r="B63" s="10">
        <v>45940</v>
      </c>
      <c r="C63" s="11" t="s">
        <v>67</v>
      </c>
      <c r="D63" s="11" t="s">
        <v>53</v>
      </c>
      <c r="E63" s="11" t="s">
        <v>42</v>
      </c>
      <c r="F63" s="11" t="s">
        <v>23</v>
      </c>
      <c r="G63" s="11">
        <v>2</v>
      </c>
      <c r="H63" s="11">
        <v>29</v>
      </c>
      <c r="I63" s="11">
        <v>0.05</v>
      </c>
      <c r="J63" s="11">
        <v>55.1</v>
      </c>
      <c r="K63" s="11">
        <v>45.29</v>
      </c>
      <c r="L63" s="11">
        <v>9.81</v>
      </c>
      <c r="M63" s="11" t="s">
        <v>18</v>
      </c>
      <c r="N63" s="11" t="s">
        <v>727</v>
      </c>
      <c r="O63" s="18" t="s">
        <v>727</v>
      </c>
      <c r="P63" s="35">
        <f t="shared" si="0"/>
        <v>45940</v>
      </c>
      <c r="Q63" s="16" t="str">
        <f t="shared" si="1"/>
        <v>2025-10</v>
      </c>
      <c r="R63" s="50"/>
    </row>
    <row r="64" spans="1:18">
      <c r="A64" s="21" t="s">
        <v>447</v>
      </c>
      <c r="B64" s="19">
        <v>45678</v>
      </c>
      <c r="C64" s="16" t="s">
        <v>448</v>
      </c>
      <c r="D64" s="16" t="s">
        <v>70</v>
      </c>
      <c r="E64" s="16" t="s">
        <v>35</v>
      </c>
      <c r="F64" s="16" t="s">
        <v>30</v>
      </c>
      <c r="G64" s="16">
        <v>4</v>
      </c>
      <c r="H64" s="16">
        <v>13.78</v>
      </c>
      <c r="I64" s="16">
        <v>0</v>
      </c>
      <c r="J64" s="16">
        <v>55.12</v>
      </c>
      <c r="K64" s="16">
        <v>45.3</v>
      </c>
      <c r="L64" s="16">
        <v>9.82</v>
      </c>
      <c r="M64" s="16" t="s">
        <v>18</v>
      </c>
      <c r="N64" s="16" t="s">
        <v>727</v>
      </c>
      <c r="O64" s="17" t="s">
        <v>727</v>
      </c>
      <c r="P64" s="35">
        <f t="shared" si="0"/>
        <v>45678</v>
      </c>
      <c r="Q64" s="16" t="str">
        <f t="shared" si="1"/>
        <v>2025-01</v>
      </c>
      <c r="R64" s="50"/>
    </row>
    <row r="65" spans="1:18">
      <c r="A65" s="20" t="s">
        <v>424</v>
      </c>
      <c r="B65" s="10">
        <v>45745</v>
      </c>
      <c r="C65" s="11" t="s">
        <v>425</v>
      </c>
      <c r="D65" s="11" t="s">
        <v>110</v>
      </c>
      <c r="E65" s="11" t="s">
        <v>35</v>
      </c>
      <c r="F65" s="11" t="s">
        <v>30</v>
      </c>
      <c r="G65" s="11">
        <v>2</v>
      </c>
      <c r="H65" s="11">
        <v>30.66</v>
      </c>
      <c r="I65" s="11">
        <v>0.1</v>
      </c>
      <c r="J65" s="11">
        <v>55.19</v>
      </c>
      <c r="K65" s="11">
        <v>43.89</v>
      </c>
      <c r="L65" s="11">
        <v>11.3</v>
      </c>
      <c r="M65" s="11" t="s">
        <v>18</v>
      </c>
      <c r="N65" s="11" t="s">
        <v>727</v>
      </c>
      <c r="O65" s="18" t="s">
        <v>727</v>
      </c>
      <c r="P65" s="35">
        <f t="shared" si="0"/>
        <v>45745</v>
      </c>
      <c r="Q65" s="16" t="str">
        <f t="shared" si="1"/>
        <v>2025-03</v>
      </c>
      <c r="R65" s="50"/>
    </row>
    <row r="66" spans="1:18">
      <c r="A66" s="21" t="s">
        <v>554</v>
      </c>
      <c r="B66" s="19">
        <v>45843</v>
      </c>
      <c r="C66" s="16" t="s">
        <v>312</v>
      </c>
      <c r="D66" s="16" t="s">
        <v>41</v>
      </c>
      <c r="E66" s="16" t="s">
        <v>42</v>
      </c>
      <c r="F66" s="16" t="s">
        <v>36</v>
      </c>
      <c r="G66" s="16">
        <v>1</v>
      </c>
      <c r="H66" s="16">
        <v>61.64</v>
      </c>
      <c r="I66" s="16">
        <v>0.1</v>
      </c>
      <c r="J66" s="16">
        <v>55.48</v>
      </c>
      <c r="K66" s="16">
        <v>43.38</v>
      </c>
      <c r="L66" s="16">
        <v>12.1</v>
      </c>
      <c r="M66" s="16" t="s">
        <v>24</v>
      </c>
      <c r="N66" s="16" t="s">
        <v>727</v>
      </c>
      <c r="O66" s="17" t="s">
        <v>727</v>
      </c>
      <c r="P66" s="35">
        <f t="shared" ref="P66:P129" si="3">IF(ISNUMBER(B66),INT(B66),"")</f>
        <v>45843</v>
      </c>
      <c r="Q66" s="16" t="str">
        <f t="shared" ref="Q66:Q129" si="4">IF(ISNUMBER(B66),TEXT(B66,"yyyy-mm"),"Invalid/Missing")</f>
        <v>2025-07</v>
      </c>
      <c r="R66" s="50"/>
    </row>
    <row r="67" spans="1:18">
      <c r="A67" s="20" t="s">
        <v>538</v>
      </c>
      <c r="B67" s="10">
        <v>45706</v>
      </c>
      <c r="C67" s="11" t="s">
        <v>202</v>
      </c>
      <c r="D67" s="11" t="s">
        <v>45</v>
      </c>
      <c r="E67" s="11" t="s">
        <v>22</v>
      </c>
      <c r="F67" s="11" t="s">
        <v>30</v>
      </c>
      <c r="G67" s="11">
        <v>2</v>
      </c>
      <c r="H67" s="11">
        <v>31.02</v>
      </c>
      <c r="I67" s="11">
        <v>0.1</v>
      </c>
      <c r="J67" s="11">
        <v>55.84</v>
      </c>
      <c r="K67" s="11">
        <v>31.62</v>
      </c>
      <c r="L67" s="11">
        <v>24.22</v>
      </c>
      <c r="M67" s="11" t="s">
        <v>24</v>
      </c>
      <c r="N67" s="11" t="s">
        <v>727</v>
      </c>
      <c r="O67" s="18" t="s">
        <v>727</v>
      </c>
      <c r="P67" s="35">
        <f t="shared" si="3"/>
        <v>45706</v>
      </c>
      <c r="Q67" s="16" t="str">
        <f t="shared" si="4"/>
        <v>2025-02</v>
      </c>
      <c r="R67" s="50"/>
    </row>
    <row r="68" spans="1:18">
      <c r="A68" s="21" t="s">
        <v>507</v>
      </c>
      <c r="B68" s="19">
        <v>45814</v>
      </c>
      <c r="C68" s="16" t="s">
        <v>90</v>
      </c>
      <c r="D68" s="16" t="s">
        <v>21</v>
      </c>
      <c r="E68" s="16" t="s">
        <v>22</v>
      </c>
      <c r="F68" s="16" t="s">
        <v>23</v>
      </c>
      <c r="G68" s="16">
        <v>4</v>
      </c>
      <c r="H68" s="16">
        <v>15.7</v>
      </c>
      <c r="I68" s="16">
        <v>0.1</v>
      </c>
      <c r="J68" s="16">
        <v>56.52</v>
      </c>
      <c r="K68" s="16">
        <v>47.14</v>
      </c>
      <c r="L68" s="16">
        <v>9.3800000000000008</v>
      </c>
      <c r="M68" s="16" t="s">
        <v>18</v>
      </c>
      <c r="N68" s="16" t="s">
        <v>727</v>
      </c>
      <c r="O68" s="17" t="s">
        <v>727</v>
      </c>
      <c r="P68" s="35">
        <f t="shared" si="3"/>
        <v>45814</v>
      </c>
      <c r="Q68" s="16" t="str">
        <f t="shared" si="4"/>
        <v>2025-06</v>
      </c>
      <c r="R68" s="50"/>
    </row>
    <row r="69" spans="1:18">
      <c r="A69" s="20" t="s">
        <v>25</v>
      </c>
      <c r="B69" s="10">
        <v>45716</v>
      </c>
      <c r="C69" s="11" t="s">
        <v>26</v>
      </c>
      <c r="D69" s="11" t="s">
        <v>21</v>
      </c>
      <c r="E69" s="11" t="s">
        <v>22</v>
      </c>
      <c r="F69" s="11" t="s">
        <v>23</v>
      </c>
      <c r="G69" s="11">
        <v>1</v>
      </c>
      <c r="H69" s="11">
        <v>60.33</v>
      </c>
      <c r="I69" s="11">
        <v>0.05</v>
      </c>
      <c r="J69" s="11">
        <v>57.31</v>
      </c>
      <c r="K69" s="11">
        <v>38.950000000000003</v>
      </c>
      <c r="L69" s="11">
        <v>18.36</v>
      </c>
      <c r="M69" s="11" t="s">
        <v>18</v>
      </c>
      <c r="N69" s="11" t="s">
        <v>727</v>
      </c>
      <c r="O69" s="18" t="s">
        <v>727</v>
      </c>
      <c r="P69" s="35">
        <f t="shared" si="3"/>
        <v>45716</v>
      </c>
      <c r="Q69" s="16" t="str">
        <f t="shared" si="4"/>
        <v>2025-02</v>
      </c>
      <c r="R69" s="50"/>
    </row>
    <row r="70" spans="1:18">
      <c r="A70" s="21" t="s">
        <v>217</v>
      </c>
      <c r="B70" s="19">
        <v>45888</v>
      </c>
      <c r="C70" s="16" t="s">
        <v>218</v>
      </c>
      <c r="D70" s="16" t="s">
        <v>139</v>
      </c>
      <c r="E70" s="16" t="s">
        <v>16</v>
      </c>
      <c r="F70" s="16" t="s">
        <v>23</v>
      </c>
      <c r="G70" s="16">
        <v>2</v>
      </c>
      <c r="H70" s="16">
        <v>31.95</v>
      </c>
      <c r="I70" s="16">
        <v>0.1</v>
      </c>
      <c r="J70" s="16">
        <v>57.51</v>
      </c>
      <c r="K70" s="16">
        <v>42.33</v>
      </c>
      <c r="L70" s="16">
        <v>15.18</v>
      </c>
      <c r="M70" s="16" t="s">
        <v>24</v>
      </c>
      <c r="N70" s="16" t="s">
        <v>727</v>
      </c>
      <c r="O70" s="17" t="s">
        <v>727</v>
      </c>
      <c r="P70" s="35">
        <f t="shared" si="3"/>
        <v>45888</v>
      </c>
      <c r="Q70" s="16" t="str">
        <f t="shared" si="4"/>
        <v>2025-08</v>
      </c>
      <c r="R70" s="50"/>
    </row>
    <row r="71" spans="1:18">
      <c r="A71" s="20" t="s">
        <v>357</v>
      </c>
      <c r="B71" s="10">
        <v>45973</v>
      </c>
      <c r="C71" s="11" t="s">
        <v>275</v>
      </c>
      <c r="D71" s="11" t="s">
        <v>88</v>
      </c>
      <c r="E71" s="11" t="s">
        <v>16</v>
      </c>
      <c r="F71" s="11" t="s">
        <v>30</v>
      </c>
      <c r="G71" s="11">
        <v>1</v>
      </c>
      <c r="H71" s="11">
        <v>64.48</v>
      </c>
      <c r="I71" s="11">
        <v>0.1</v>
      </c>
      <c r="J71" s="11">
        <v>58.03</v>
      </c>
      <c r="K71" s="11">
        <v>42.53</v>
      </c>
      <c r="L71" s="11">
        <v>15.5</v>
      </c>
      <c r="M71" s="11" t="s">
        <v>31</v>
      </c>
      <c r="N71" s="11" t="s">
        <v>727</v>
      </c>
      <c r="O71" s="18" t="s">
        <v>727</v>
      </c>
      <c r="P71" s="35">
        <f t="shared" si="3"/>
        <v>45973</v>
      </c>
      <c r="Q71" s="16" t="str">
        <f t="shared" si="4"/>
        <v>2025-11</v>
      </c>
      <c r="R71" s="50"/>
    </row>
    <row r="72" spans="1:18">
      <c r="A72" s="21" t="s">
        <v>529</v>
      </c>
      <c r="B72" s="19">
        <v>45889</v>
      </c>
      <c r="C72" s="16" t="s">
        <v>377</v>
      </c>
      <c r="D72" s="16" t="s">
        <v>139</v>
      </c>
      <c r="E72" s="16" t="s">
        <v>16</v>
      </c>
      <c r="F72" s="16" t="s">
        <v>30</v>
      </c>
      <c r="G72" s="16">
        <v>1</v>
      </c>
      <c r="H72" s="16">
        <v>66.790000000000006</v>
      </c>
      <c r="I72" s="16">
        <v>0.1</v>
      </c>
      <c r="J72" s="16">
        <v>60.11</v>
      </c>
      <c r="K72" s="16">
        <v>34.31</v>
      </c>
      <c r="L72" s="16">
        <v>25.8</v>
      </c>
      <c r="M72" s="16" t="s">
        <v>31</v>
      </c>
      <c r="N72" s="16" t="s">
        <v>727</v>
      </c>
      <c r="O72" s="17" t="s">
        <v>727</v>
      </c>
      <c r="P72" s="35">
        <f t="shared" si="3"/>
        <v>45889</v>
      </c>
      <c r="Q72" s="16" t="str">
        <f t="shared" si="4"/>
        <v>2025-08</v>
      </c>
      <c r="R72" s="50"/>
    </row>
    <row r="73" spans="1:18">
      <c r="A73" s="20" t="s">
        <v>345</v>
      </c>
      <c r="B73" s="10">
        <v>45902</v>
      </c>
      <c r="C73" s="11" t="s">
        <v>297</v>
      </c>
      <c r="D73" s="11" t="s">
        <v>88</v>
      </c>
      <c r="E73" s="11" t="s">
        <v>16</v>
      </c>
      <c r="F73" s="11" t="s">
        <v>30</v>
      </c>
      <c r="G73" s="11">
        <v>4</v>
      </c>
      <c r="H73" s="11">
        <v>16.89</v>
      </c>
      <c r="I73" s="11">
        <v>0.1</v>
      </c>
      <c r="J73" s="11">
        <v>60.8</v>
      </c>
      <c r="K73" s="11">
        <v>37.54</v>
      </c>
      <c r="L73" s="11">
        <v>23.26</v>
      </c>
      <c r="M73" s="11" t="s">
        <v>31</v>
      </c>
      <c r="N73" s="11" t="s">
        <v>727</v>
      </c>
      <c r="O73" s="18" t="s">
        <v>727</v>
      </c>
      <c r="P73" s="35">
        <f t="shared" si="3"/>
        <v>45902</v>
      </c>
      <c r="Q73" s="16" t="str">
        <f t="shared" si="4"/>
        <v>2025-09</v>
      </c>
      <c r="R73" s="50"/>
    </row>
    <row r="74" spans="1:18">
      <c r="A74" s="21" t="s">
        <v>87</v>
      </c>
      <c r="B74" s="19">
        <v>45773</v>
      </c>
      <c r="C74" s="16" t="s">
        <v>14</v>
      </c>
      <c r="D74" s="16" t="s">
        <v>88</v>
      </c>
      <c r="E74" s="16" t="s">
        <v>16</v>
      </c>
      <c r="F74" s="16" t="s">
        <v>30</v>
      </c>
      <c r="G74" s="16">
        <v>1</v>
      </c>
      <c r="H74" s="16">
        <v>68.06</v>
      </c>
      <c r="I74" s="16">
        <v>0.1</v>
      </c>
      <c r="J74" s="16">
        <v>61.25</v>
      </c>
      <c r="K74" s="16">
        <v>50.17</v>
      </c>
      <c r="L74" s="16">
        <v>11.08</v>
      </c>
      <c r="M74" s="16" t="s">
        <v>18</v>
      </c>
      <c r="N74" s="16" t="s">
        <v>727</v>
      </c>
      <c r="O74" s="17" t="s">
        <v>727</v>
      </c>
      <c r="P74" s="35">
        <f t="shared" si="3"/>
        <v>45773</v>
      </c>
      <c r="Q74" s="16" t="str">
        <f t="shared" si="4"/>
        <v>2025-04</v>
      </c>
      <c r="R74" s="50"/>
    </row>
    <row r="75" spans="1:18">
      <c r="A75" s="20" t="s">
        <v>219</v>
      </c>
      <c r="B75" s="10">
        <v>45743</v>
      </c>
      <c r="C75" s="11" t="s">
        <v>220</v>
      </c>
      <c r="D75" s="11" t="s">
        <v>110</v>
      </c>
      <c r="E75" s="11" t="s">
        <v>35</v>
      </c>
      <c r="F75" s="11" t="s">
        <v>36</v>
      </c>
      <c r="G75" s="11">
        <v>1</v>
      </c>
      <c r="H75" s="11">
        <v>61.62</v>
      </c>
      <c r="I75" s="11">
        <v>0</v>
      </c>
      <c r="J75" s="11">
        <v>61.62</v>
      </c>
      <c r="K75" s="11">
        <v>47.64</v>
      </c>
      <c r="L75" s="11">
        <v>13.98</v>
      </c>
      <c r="M75" s="11" t="s">
        <v>24</v>
      </c>
      <c r="N75" s="11" t="s">
        <v>727</v>
      </c>
      <c r="O75" s="18" t="s">
        <v>727</v>
      </c>
      <c r="P75" s="35">
        <f t="shared" si="3"/>
        <v>45743</v>
      </c>
      <c r="Q75" s="16" t="str">
        <f t="shared" si="4"/>
        <v>2025-03</v>
      </c>
      <c r="R75" s="50"/>
    </row>
    <row r="76" spans="1:18">
      <c r="A76" s="21" t="s">
        <v>396</v>
      </c>
      <c r="B76" s="19">
        <v>45669</v>
      </c>
      <c r="C76" s="16" t="s">
        <v>397</v>
      </c>
      <c r="D76" s="16" t="s">
        <v>61</v>
      </c>
      <c r="E76" s="16" t="s">
        <v>42</v>
      </c>
      <c r="F76" s="16" t="s">
        <v>23</v>
      </c>
      <c r="G76" s="16">
        <v>5</v>
      </c>
      <c r="H76" s="16">
        <v>12.44</v>
      </c>
      <c r="I76" s="16">
        <v>0</v>
      </c>
      <c r="J76" s="16">
        <v>62.2</v>
      </c>
      <c r="K76" s="16">
        <v>52.18</v>
      </c>
      <c r="L76" s="16">
        <v>10.02</v>
      </c>
      <c r="M76" s="16" t="s">
        <v>24</v>
      </c>
      <c r="N76" s="16" t="s">
        <v>727</v>
      </c>
      <c r="O76" s="17" t="s">
        <v>727</v>
      </c>
      <c r="P76" s="35">
        <f t="shared" si="3"/>
        <v>45669</v>
      </c>
      <c r="Q76" s="16" t="str">
        <f t="shared" si="4"/>
        <v>2025-01</v>
      </c>
      <c r="R76" s="50"/>
    </row>
    <row r="77" spans="1:18">
      <c r="A77" s="20" t="s">
        <v>526</v>
      </c>
      <c r="B77" s="10">
        <v>45826</v>
      </c>
      <c r="C77" s="11" t="s">
        <v>527</v>
      </c>
      <c r="D77" s="11" t="s">
        <v>139</v>
      </c>
      <c r="E77" s="11" t="s">
        <v>16</v>
      </c>
      <c r="F77" s="11" t="s">
        <v>17</v>
      </c>
      <c r="G77" s="11">
        <v>2</v>
      </c>
      <c r="H77" s="11">
        <v>31.12</v>
      </c>
      <c r="I77" s="11">
        <v>0</v>
      </c>
      <c r="J77" s="11">
        <v>62.24</v>
      </c>
      <c r="K77" s="11">
        <v>40.93</v>
      </c>
      <c r="L77" s="11">
        <v>21.31</v>
      </c>
      <c r="M77" s="11" t="s">
        <v>18</v>
      </c>
      <c r="N77" s="11" t="s">
        <v>727</v>
      </c>
      <c r="O77" s="18" t="s">
        <v>727</v>
      </c>
      <c r="P77" s="35">
        <f t="shared" si="3"/>
        <v>45826</v>
      </c>
      <c r="Q77" s="16" t="str">
        <f t="shared" si="4"/>
        <v>2025-06</v>
      </c>
      <c r="R77" s="50"/>
    </row>
    <row r="78" spans="1:18">
      <c r="A78" s="21" t="s">
        <v>43</v>
      </c>
      <c r="B78" s="19">
        <v>45710</v>
      </c>
      <c r="C78" s="16" t="s">
        <v>44</v>
      </c>
      <c r="D78" s="16" t="s">
        <v>45</v>
      </c>
      <c r="E78" s="16" t="s">
        <v>22</v>
      </c>
      <c r="F78" s="16" t="s">
        <v>36</v>
      </c>
      <c r="G78" s="16">
        <v>4</v>
      </c>
      <c r="H78" s="16">
        <v>15.78</v>
      </c>
      <c r="I78" s="16">
        <v>0</v>
      </c>
      <c r="J78" s="16">
        <v>63.12</v>
      </c>
      <c r="K78" s="16">
        <v>42.08</v>
      </c>
      <c r="L78" s="16">
        <v>21.04</v>
      </c>
      <c r="M78" s="16" t="s">
        <v>18</v>
      </c>
      <c r="N78" s="16" t="s">
        <v>727</v>
      </c>
      <c r="O78" s="17" t="s">
        <v>727</v>
      </c>
      <c r="P78" s="35">
        <f t="shared" si="3"/>
        <v>45710</v>
      </c>
      <c r="Q78" s="16" t="str">
        <f t="shared" si="4"/>
        <v>2025-02</v>
      </c>
      <c r="R78" s="50"/>
    </row>
    <row r="79" spans="1:18">
      <c r="A79" s="20" t="s">
        <v>462</v>
      </c>
      <c r="B79" s="10">
        <v>46022</v>
      </c>
      <c r="C79" s="11" t="s">
        <v>359</v>
      </c>
      <c r="D79" s="11" t="s">
        <v>61</v>
      </c>
      <c r="E79" s="11" t="s">
        <v>42</v>
      </c>
      <c r="F79" s="11" t="s">
        <v>17</v>
      </c>
      <c r="G79" s="11">
        <v>2</v>
      </c>
      <c r="H79" s="11">
        <v>35.17</v>
      </c>
      <c r="I79" s="11">
        <v>0.1</v>
      </c>
      <c r="J79" s="11">
        <v>63.31</v>
      </c>
      <c r="K79" s="11">
        <v>49.89</v>
      </c>
      <c r="L79" s="11">
        <v>13.42</v>
      </c>
      <c r="M79" s="11" t="s">
        <v>18</v>
      </c>
      <c r="N79" s="11" t="s">
        <v>727</v>
      </c>
      <c r="O79" s="18" t="s">
        <v>727</v>
      </c>
      <c r="P79" s="35">
        <f t="shared" si="3"/>
        <v>46022</v>
      </c>
      <c r="Q79" s="16" t="str">
        <f t="shared" si="4"/>
        <v>2025-12</v>
      </c>
      <c r="R79" s="50"/>
    </row>
    <row r="80" spans="1:18">
      <c r="A80" s="21" t="s">
        <v>438</v>
      </c>
      <c r="B80" s="19">
        <v>45775</v>
      </c>
      <c r="C80" s="16" t="s">
        <v>273</v>
      </c>
      <c r="D80" s="16" t="s">
        <v>110</v>
      </c>
      <c r="E80" s="16" t="s">
        <v>35</v>
      </c>
      <c r="F80" s="16" t="s">
        <v>30</v>
      </c>
      <c r="G80" s="16">
        <v>4</v>
      </c>
      <c r="H80" s="16">
        <v>18.760000000000002</v>
      </c>
      <c r="I80" s="16">
        <v>0.15</v>
      </c>
      <c r="J80" s="16">
        <v>63.78</v>
      </c>
      <c r="K80" s="16">
        <v>49.75</v>
      </c>
      <c r="L80" s="16">
        <v>14.03</v>
      </c>
      <c r="M80" s="16" t="s">
        <v>18</v>
      </c>
      <c r="N80" s="16" t="s">
        <v>727</v>
      </c>
      <c r="O80" s="17" t="s">
        <v>727</v>
      </c>
      <c r="P80" s="35">
        <f t="shared" si="3"/>
        <v>45775</v>
      </c>
      <c r="Q80" s="16" t="str">
        <f t="shared" si="4"/>
        <v>2025-04</v>
      </c>
      <c r="R80" s="50"/>
    </row>
    <row r="81" spans="1:18">
      <c r="A81" s="20" t="s">
        <v>186</v>
      </c>
      <c r="B81" s="10">
        <v>46003</v>
      </c>
      <c r="C81" s="11" t="s">
        <v>187</v>
      </c>
      <c r="D81" s="11" t="s">
        <v>77</v>
      </c>
      <c r="E81" s="11" t="s">
        <v>22</v>
      </c>
      <c r="F81" s="11" t="s">
        <v>36</v>
      </c>
      <c r="G81" s="11">
        <v>5</v>
      </c>
      <c r="H81" s="11">
        <v>13.47</v>
      </c>
      <c r="I81" s="11">
        <v>0.05</v>
      </c>
      <c r="J81" s="11">
        <v>63.98</v>
      </c>
      <c r="K81" s="11">
        <v>45.45</v>
      </c>
      <c r="L81" s="11">
        <v>18.53</v>
      </c>
      <c r="M81" s="11" t="s">
        <v>24</v>
      </c>
      <c r="N81" s="11" t="s">
        <v>727</v>
      </c>
      <c r="O81" s="18" t="s">
        <v>727</v>
      </c>
      <c r="P81" s="35">
        <f t="shared" si="3"/>
        <v>46003</v>
      </c>
      <c r="Q81" s="16" t="str">
        <f t="shared" si="4"/>
        <v>2025-12</v>
      </c>
      <c r="R81" s="50"/>
    </row>
    <row r="82" spans="1:18">
      <c r="A82" s="21" t="s">
        <v>434</v>
      </c>
      <c r="B82" s="19">
        <v>45677</v>
      </c>
      <c r="C82" s="16" t="s">
        <v>303</v>
      </c>
      <c r="D82" s="16" t="s">
        <v>110</v>
      </c>
      <c r="E82" s="16" t="s">
        <v>35</v>
      </c>
      <c r="F82" s="16" t="s">
        <v>17</v>
      </c>
      <c r="G82" s="16">
        <v>5</v>
      </c>
      <c r="H82" s="16">
        <v>13</v>
      </c>
      <c r="I82" s="16">
        <v>0</v>
      </c>
      <c r="J82" s="16">
        <v>65</v>
      </c>
      <c r="K82" s="16">
        <v>39.29</v>
      </c>
      <c r="L82" s="16">
        <v>25.71</v>
      </c>
      <c r="M82" s="16" t="s">
        <v>31</v>
      </c>
      <c r="N82" s="16" t="s">
        <v>727</v>
      </c>
      <c r="O82" s="17" t="s">
        <v>727</v>
      </c>
      <c r="P82" s="35">
        <f t="shared" si="3"/>
        <v>45677</v>
      </c>
      <c r="Q82" s="16" t="str">
        <f t="shared" si="4"/>
        <v>2025-01</v>
      </c>
      <c r="R82" s="50"/>
    </row>
    <row r="83" spans="1:18">
      <c r="A83" s="20" t="s">
        <v>263</v>
      </c>
      <c r="B83" s="10">
        <v>45682</v>
      </c>
      <c r="C83" s="11" t="s">
        <v>150</v>
      </c>
      <c r="D83" s="11" t="s">
        <v>70</v>
      </c>
      <c r="E83" s="11" t="s">
        <v>35</v>
      </c>
      <c r="F83" s="11" t="s">
        <v>17</v>
      </c>
      <c r="G83" s="11">
        <v>1</v>
      </c>
      <c r="H83" s="11">
        <v>68.459999999999994</v>
      </c>
      <c r="I83" s="11">
        <v>0.05</v>
      </c>
      <c r="J83" s="11">
        <v>65.040000000000006</v>
      </c>
      <c r="K83" s="11">
        <v>49.53</v>
      </c>
      <c r="L83" s="11">
        <v>15.51</v>
      </c>
      <c r="M83" s="11" t="s">
        <v>18</v>
      </c>
      <c r="N83" s="11" t="s">
        <v>727</v>
      </c>
      <c r="O83" s="18" t="s">
        <v>727</v>
      </c>
      <c r="P83" s="35">
        <f t="shared" si="3"/>
        <v>45682</v>
      </c>
      <c r="Q83" s="16" t="str">
        <f t="shared" si="4"/>
        <v>2025-01</v>
      </c>
      <c r="R83" s="50"/>
    </row>
    <row r="84" spans="1:18">
      <c r="A84" s="21" t="s">
        <v>155</v>
      </c>
      <c r="B84" s="19">
        <v>45909</v>
      </c>
      <c r="C84" s="16" t="s">
        <v>81</v>
      </c>
      <c r="D84" s="16" t="s">
        <v>21</v>
      </c>
      <c r="E84" s="16" t="s">
        <v>22</v>
      </c>
      <c r="F84" s="16" t="s">
        <v>17</v>
      </c>
      <c r="G84" s="16">
        <v>5</v>
      </c>
      <c r="H84" s="16">
        <v>15.42</v>
      </c>
      <c r="I84" s="16">
        <v>0.15</v>
      </c>
      <c r="J84" s="16">
        <v>65.540000000000006</v>
      </c>
      <c r="K84" s="16">
        <v>46.42</v>
      </c>
      <c r="L84" s="16">
        <v>19.12</v>
      </c>
      <c r="M84" s="16" t="s">
        <v>18</v>
      </c>
      <c r="N84" s="16" t="s">
        <v>727</v>
      </c>
      <c r="O84" s="17" t="s">
        <v>727</v>
      </c>
      <c r="P84" s="35">
        <f t="shared" si="3"/>
        <v>45909</v>
      </c>
      <c r="Q84" s="16" t="str">
        <f t="shared" si="4"/>
        <v>2025-09</v>
      </c>
      <c r="R84" s="50"/>
    </row>
    <row r="85" spans="1:18">
      <c r="A85" s="20" t="s">
        <v>689</v>
      </c>
      <c r="B85" s="10">
        <v>45876</v>
      </c>
      <c r="C85" s="11" t="s">
        <v>164</v>
      </c>
      <c r="D85" s="11" t="s">
        <v>21</v>
      </c>
      <c r="E85" s="11" t="s">
        <v>22</v>
      </c>
      <c r="F85" s="11" t="s">
        <v>17</v>
      </c>
      <c r="G85" s="11">
        <v>1</v>
      </c>
      <c r="H85" s="11">
        <v>68.41</v>
      </c>
      <c r="I85" s="11">
        <v>0</v>
      </c>
      <c r="J85" s="11">
        <v>68.41</v>
      </c>
      <c r="K85" s="11">
        <v>47.6</v>
      </c>
      <c r="L85" s="11">
        <v>20.81</v>
      </c>
      <c r="M85" s="11" t="s">
        <v>18</v>
      </c>
      <c r="N85" s="11" t="s">
        <v>727</v>
      </c>
      <c r="O85" s="18" t="s">
        <v>727</v>
      </c>
      <c r="P85" s="35">
        <f t="shared" si="3"/>
        <v>45876</v>
      </c>
      <c r="Q85" s="16" t="str">
        <f t="shared" si="4"/>
        <v>2025-08</v>
      </c>
      <c r="R85" s="50"/>
    </row>
    <row r="86" spans="1:18">
      <c r="A86" s="21" t="s">
        <v>475</v>
      </c>
      <c r="B86" s="19">
        <v>45696</v>
      </c>
      <c r="C86" s="16" t="s">
        <v>476</v>
      </c>
      <c r="D86" s="16" t="s">
        <v>53</v>
      </c>
      <c r="E86" s="16" t="s">
        <v>42</v>
      </c>
      <c r="F86" s="16" t="s">
        <v>17</v>
      </c>
      <c r="G86" s="16">
        <v>5</v>
      </c>
      <c r="H86" s="16">
        <v>13.71</v>
      </c>
      <c r="I86" s="16">
        <v>0</v>
      </c>
      <c r="J86" s="16">
        <v>68.55</v>
      </c>
      <c r="K86" s="16">
        <v>51.13</v>
      </c>
      <c r="L86" s="16">
        <v>17.420000000000002</v>
      </c>
      <c r="M86" s="16" t="s">
        <v>24</v>
      </c>
      <c r="N86" s="16" t="s">
        <v>727</v>
      </c>
      <c r="O86" s="17" t="s">
        <v>727</v>
      </c>
      <c r="P86" s="35">
        <f t="shared" si="3"/>
        <v>45696</v>
      </c>
      <c r="Q86" s="16" t="str">
        <f t="shared" si="4"/>
        <v>2025-02</v>
      </c>
      <c r="R86" s="50"/>
    </row>
    <row r="87" spans="1:18">
      <c r="A87" s="20" t="s">
        <v>366</v>
      </c>
      <c r="B87" s="10">
        <v>45775</v>
      </c>
      <c r="C87" s="11" t="s">
        <v>367</v>
      </c>
      <c r="D87" s="11" t="s">
        <v>77</v>
      </c>
      <c r="E87" s="11" t="s">
        <v>22</v>
      </c>
      <c r="F87" s="11" t="s">
        <v>36</v>
      </c>
      <c r="G87" s="11">
        <v>0</v>
      </c>
      <c r="H87" s="11">
        <v>72.239999999999995</v>
      </c>
      <c r="I87" s="11">
        <v>0.05</v>
      </c>
      <c r="J87" s="11">
        <v>68.63</v>
      </c>
      <c r="K87" s="11">
        <v>40.06</v>
      </c>
      <c r="L87" s="11">
        <v>28.57</v>
      </c>
      <c r="M87" s="11" t="s">
        <v>31</v>
      </c>
      <c r="N87" s="11" t="s">
        <v>728</v>
      </c>
      <c r="O87" s="18" t="s">
        <v>727</v>
      </c>
      <c r="P87" s="35">
        <f t="shared" si="3"/>
        <v>45775</v>
      </c>
      <c r="Q87" s="16" t="str">
        <f t="shared" si="4"/>
        <v>2025-04</v>
      </c>
      <c r="R87" s="50"/>
    </row>
    <row r="88" spans="1:18">
      <c r="A88" s="21" t="s">
        <v>423</v>
      </c>
      <c r="B88" s="19">
        <v>45679</v>
      </c>
      <c r="C88" s="16" t="s">
        <v>245</v>
      </c>
      <c r="D88" s="16" t="s">
        <v>77</v>
      </c>
      <c r="E88" s="16" t="s">
        <v>22</v>
      </c>
      <c r="F88" s="16" t="s">
        <v>30</v>
      </c>
      <c r="G88" s="16">
        <v>4</v>
      </c>
      <c r="H88" s="16">
        <v>17.260000000000002</v>
      </c>
      <c r="I88" s="16">
        <v>0</v>
      </c>
      <c r="J88" s="16">
        <v>69.040000000000006</v>
      </c>
      <c r="K88" s="16">
        <v>53.57</v>
      </c>
      <c r="L88" s="16">
        <v>15.47</v>
      </c>
      <c r="M88" s="16" t="s">
        <v>18</v>
      </c>
      <c r="N88" s="16" t="s">
        <v>727</v>
      </c>
      <c r="O88" s="17" t="s">
        <v>727</v>
      </c>
      <c r="P88" s="35">
        <f t="shared" si="3"/>
        <v>45679</v>
      </c>
      <c r="Q88" s="16" t="str">
        <f t="shared" si="4"/>
        <v>2025-01</v>
      </c>
      <c r="R88" s="50"/>
    </row>
    <row r="89" spans="1:18">
      <c r="A89" s="20" t="s">
        <v>582</v>
      </c>
      <c r="B89" s="10">
        <v>45852</v>
      </c>
      <c r="C89" s="11" t="s">
        <v>414</v>
      </c>
      <c r="D89" s="11" t="s">
        <v>61</v>
      </c>
      <c r="E89" s="11" t="s">
        <v>42</v>
      </c>
      <c r="F89" s="11" t="s">
        <v>23</v>
      </c>
      <c r="G89" s="11">
        <v>1</v>
      </c>
      <c r="H89" s="11">
        <v>70.67</v>
      </c>
      <c r="I89" s="11">
        <v>0</v>
      </c>
      <c r="J89" s="11">
        <v>70.67</v>
      </c>
      <c r="K89" s="11">
        <v>57.51</v>
      </c>
      <c r="L89" s="11">
        <v>13.16</v>
      </c>
      <c r="M89" s="11" t="s">
        <v>18</v>
      </c>
      <c r="N89" s="11" t="s">
        <v>727</v>
      </c>
      <c r="O89" s="18" t="s">
        <v>727</v>
      </c>
      <c r="P89" s="35">
        <f t="shared" si="3"/>
        <v>45852</v>
      </c>
      <c r="Q89" s="16" t="str">
        <f t="shared" si="4"/>
        <v>2025-07</v>
      </c>
      <c r="R89" s="50"/>
    </row>
    <row r="90" spans="1:18">
      <c r="A90" s="21" t="s">
        <v>704</v>
      </c>
      <c r="B90" s="19">
        <v>45682</v>
      </c>
      <c r="C90" s="16" t="s">
        <v>172</v>
      </c>
      <c r="D90" s="16" t="s">
        <v>61</v>
      </c>
      <c r="E90" s="16" t="s">
        <v>42</v>
      </c>
      <c r="F90" s="16" t="s">
        <v>17</v>
      </c>
      <c r="G90" s="16">
        <v>3</v>
      </c>
      <c r="H90" s="16">
        <v>23.89</v>
      </c>
      <c r="I90" s="16">
        <v>0</v>
      </c>
      <c r="J90" s="16">
        <v>71.67</v>
      </c>
      <c r="K90" s="16">
        <v>52.22</v>
      </c>
      <c r="L90" s="16">
        <v>19.45</v>
      </c>
      <c r="M90" s="16" t="s">
        <v>31</v>
      </c>
      <c r="N90" s="16" t="s">
        <v>727</v>
      </c>
      <c r="O90" s="17" t="s">
        <v>727</v>
      </c>
      <c r="P90" s="35">
        <f t="shared" si="3"/>
        <v>45682</v>
      </c>
      <c r="Q90" s="16" t="str">
        <f t="shared" si="4"/>
        <v>2025-01</v>
      </c>
      <c r="R90" s="50"/>
    </row>
    <row r="91" spans="1:18">
      <c r="A91" s="20" t="s">
        <v>288</v>
      </c>
      <c r="B91" s="10">
        <v>45677</v>
      </c>
      <c r="C91" s="11" t="s">
        <v>289</v>
      </c>
      <c r="D91" s="11" t="s">
        <v>53</v>
      </c>
      <c r="E91" s="11" t="s">
        <v>42</v>
      </c>
      <c r="F91" s="11" t="s">
        <v>30</v>
      </c>
      <c r="G91" s="11">
        <v>5</v>
      </c>
      <c r="H91" s="11">
        <v>17.95</v>
      </c>
      <c r="I91" s="11">
        <v>0.2</v>
      </c>
      <c r="J91" s="11">
        <v>71.8</v>
      </c>
      <c r="K91" s="11">
        <v>58.53</v>
      </c>
      <c r="L91" s="11">
        <v>13.27</v>
      </c>
      <c r="M91" s="11" t="s">
        <v>18</v>
      </c>
      <c r="N91" s="11" t="s">
        <v>727</v>
      </c>
      <c r="O91" s="18" t="s">
        <v>727</v>
      </c>
      <c r="P91" s="35">
        <f t="shared" si="3"/>
        <v>45677</v>
      </c>
      <c r="Q91" s="16" t="str">
        <f t="shared" si="4"/>
        <v>2025-01</v>
      </c>
      <c r="R91" s="50"/>
    </row>
    <row r="92" spans="1:18">
      <c r="A92" s="21" t="s">
        <v>405</v>
      </c>
      <c r="B92" s="19">
        <v>45899</v>
      </c>
      <c r="C92" s="16" t="s">
        <v>271</v>
      </c>
      <c r="D92" s="16" t="s">
        <v>53</v>
      </c>
      <c r="E92" s="16" t="s">
        <v>42</v>
      </c>
      <c r="F92" s="16" t="s">
        <v>30</v>
      </c>
      <c r="G92" s="16">
        <v>2</v>
      </c>
      <c r="H92" s="16">
        <v>40.630000000000003</v>
      </c>
      <c r="I92" s="16">
        <v>0.1</v>
      </c>
      <c r="J92" s="16">
        <v>73.13</v>
      </c>
      <c r="K92" s="16">
        <v>47.32</v>
      </c>
      <c r="L92" s="16">
        <v>25.81</v>
      </c>
      <c r="M92" s="16" t="s">
        <v>18</v>
      </c>
      <c r="N92" s="16" t="s">
        <v>727</v>
      </c>
      <c r="O92" s="17" t="s">
        <v>727</v>
      </c>
      <c r="P92" s="35">
        <f t="shared" si="3"/>
        <v>45899</v>
      </c>
      <c r="Q92" s="16" t="str">
        <f t="shared" si="4"/>
        <v>2025-08</v>
      </c>
      <c r="R92" s="50"/>
    </row>
    <row r="93" spans="1:18">
      <c r="A93" s="20" t="s">
        <v>564</v>
      </c>
      <c r="B93" s="10">
        <v>45665</v>
      </c>
      <c r="C93" s="11" t="s">
        <v>379</v>
      </c>
      <c r="D93" s="11" t="s">
        <v>41</v>
      </c>
      <c r="E93" s="11" t="s">
        <v>42</v>
      </c>
      <c r="F93" s="11" t="s">
        <v>30</v>
      </c>
      <c r="G93" s="11">
        <v>2</v>
      </c>
      <c r="H93" s="11">
        <v>39.01</v>
      </c>
      <c r="I93" s="11">
        <v>0.05</v>
      </c>
      <c r="J93" s="11">
        <v>74.12</v>
      </c>
      <c r="K93" s="11">
        <v>53.24</v>
      </c>
      <c r="L93" s="11">
        <v>20.88</v>
      </c>
      <c r="M93" s="11" t="s">
        <v>31</v>
      </c>
      <c r="N93" s="11" t="s">
        <v>727</v>
      </c>
      <c r="O93" s="18" t="s">
        <v>727</v>
      </c>
      <c r="P93" s="35">
        <f t="shared" si="3"/>
        <v>45665</v>
      </c>
      <c r="Q93" s="16" t="str">
        <f t="shared" si="4"/>
        <v>2025-01</v>
      </c>
      <c r="R93" s="50"/>
    </row>
    <row r="94" spans="1:18">
      <c r="A94" s="21" t="s">
        <v>365</v>
      </c>
      <c r="B94" s="19">
        <v>45955</v>
      </c>
      <c r="C94" s="16" t="s">
        <v>109</v>
      </c>
      <c r="D94" s="16" t="s">
        <v>110</v>
      </c>
      <c r="E94" s="16" t="s">
        <v>35</v>
      </c>
      <c r="F94" s="16" t="s">
        <v>23</v>
      </c>
      <c r="G94" s="16">
        <v>3</v>
      </c>
      <c r="H94" s="16">
        <v>29.19</v>
      </c>
      <c r="I94" s="16">
        <v>0.15</v>
      </c>
      <c r="J94" s="16">
        <v>74.430000000000007</v>
      </c>
      <c r="K94" s="16">
        <v>58.79</v>
      </c>
      <c r="L94" s="16">
        <v>15.64</v>
      </c>
      <c r="M94" s="16" t="s">
        <v>18</v>
      </c>
      <c r="N94" s="16" t="s">
        <v>727</v>
      </c>
      <c r="O94" s="17" t="s">
        <v>727</v>
      </c>
      <c r="P94" s="35">
        <f t="shared" si="3"/>
        <v>45955</v>
      </c>
      <c r="Q94" s="16" t="str">
        <f t="shared" si="4"/>
        <v>2025-10</v>
      </c>
      <c r="R94" s="50"/>
    </row>
    <row r="95" spans="1:18">
      <c r="A95" s="20" t="s">
        <v>671</v>
      </c>
      <c r="B95" s="10">
        <v>45888</v>
      </c>
      <c r="C95" s="11" t="s">
        <v>33</v>
      </c>
      <c r="D95" s="11" t="s">
        <v>34</v>
      </c>
      <c r="E95" s="11" t="s">
        <v>35</v>
      </c>
      <c r="F95" s="11" t="s">
        <v>17</v>
      </c>
      <c r="G95" s="11">
        <v>1</v>
      </c>
      <c r="H95" s="11">
        <v>87.98</v>
      </c>
      <c r="I95" s="11">
        <v>0.15</v>
      </c>
      <c r="J95" s="11">
        <v>74.78</v>
      </c>
      <c r="K95" s="11">
        <v>42.53</v>
      </c>
      <c r="L95" s="11">
        <v>32.25</v>
      </c>
      <c r="M95" s="11" t="s">
        <v>24</v>
      </c>
      <c r="N95" s="11" t="s">
        <v>727</v>
      </c>
      <c r="O95" s="18" t="s">
        <v>727</v>
      </c>
      <c r="P95" s="35">
        <f t="shared" si="3"/>
        <v>45888</v>
      </c>
      <c r="Q95" s="16" t="str">
        <f t="shared" si="4"/>
        <v>2025-08</v>
      </c>
      <c r="R95" s="50"/>
    </row>
    <row r="96" spans="1:18">
      <c r="A96" s="21" t="s">
        <v>332</v>
      </c>
      <c r="B96" s="19">
        <v>45992</v>
      </c>
      <c r="C96" s="16" t="s">
        <v>333</v>
      </c>
      <c r="D96" s="16" t="s">
        <v>15</v>
      </c>
      <c r="E96" s="16" t="s">
        <v>16</v>
      </c>
      <c r="F96" s="16" t="s">
        <v>23</v>
      </c>
      <c r="G96" s="16">
        <v>1</v>
      </c>
      <c r="H96" s="16">
        <v>83.44</v>
      </c>
      <c r="I96" s="16">
        <v>0.1</v>
      </c>
      <c r="J96" s="16">
        <v>75.099999999999994</v>
      </c>
      <c r="K96" s="16">
        <v>52.27</v>
      </c>
      <c r="L96" s="16">
        <v>22.83</v>
      </c>
      <c r="M96" s="16" t="s">
        <v>18</v>
      </c>
      <c r="N96" s="16" t="s">
        <v>727</v>
      </c>
      <c r="O96" s="17" t="s">
        <v>727</v>
      </c>
      <c r="P96" s="35">
        <f t="shared" si="3"/>
        <v>45992</v>
      </c>
      <c r="Q96" s="16" t="str">
        <f t="shared" si="4"/>
        <v>2025-12</v>
      </c>
      <c r="R96" s="50"/>
    </row>
    <row r="97" spans="1:18">
      <c r="A97" s="20" t="s">
        <v>258</v>
      </c>
      <c r="B97" s="10">
        <v>45967</v>
      </c>
      <c r="C97" s="11" t="s">
        <v>259</v>
      </c>
      <c r="D97" s="11" t="s">
        <v>105</v>
      </c>
      <c r="E97" s="11" t="s">
        <v>42</v>
      </c>
      <c r="F97" s="11" t="s">
        <v>30</v>
      </c>
      <c r="G97" s="11">
        <v>1</v>
      </c>
      <c r="H97" s="11">
        <v>80.03</v>
      </c>
      <c r="I97" s="11">
        <v>0.05</v>
      </c>
      <c r="J97" s="11">
        <v>76.03</v>
      </c>
      <c r="K97" s="11">
        <v>53.65</v>
      </c>
      <c r="L97" s="11">
        <v>22.38</v>
      </c>
      <c r="M97" s="11" t="s">
        <v>18</v>
      </c>
      <c r="N97" s="11" t="s">
        <v>727</v>
      </c>
      <c r="O97" s="18" t="s">
        <v>727</v>
      </c>
      <c r="P97" s="35">
        <f t="shared" si="3"/>
        <v>45967</v>
      </c>
      <c r="Q97" s="16" t="str">
        <f t="shared" si="4"/>
        <v>2025-11</v>
      </c>
      <c r="R97" s="50"/>
    </row>
    <row r="98" spans="1:18">
      <c r="A98" s="21" t="s">
        <v>494</v>
      </c>
      <c r="B98" s="19">
        <v>45964</v>
      </c>
      <c r="C98" s="16" t="s">
        <v>297</v>
      </c>
      <c r="D98" s="16" t="s">
        <v>56</v>
      </c>
      <c r="E98" s="16" t="s">
        <v>16</v>
      </c>
      <c r="F98" s="16" t="s">
        <v>17</v>
      </c>
      <c r="G98" s="16">
        <v>1</v>
      </c>
      <c r="H98" s="16">
        <v>76.290000000000006</v>
      </c>
      <c r="I98" s="16">
        <v>0</v>
      </c>
      <c r="J98" s="16">
        <v>76.290000000000006</v>
      </c>
      <c r="K98" s="16">
        <v>56.08</v>
      </c>
      <c r="L98" s="16">
        <v>20.21</v>
      </c>
      <c r="M98" s="16" t="s">
        <v>31</v>
      </c>
      <c r="N98" s="16" t="s">
        <v>727</v>
      </c>
      <c r="O98" s="17" t="s">
        <v>727</v>
      </c>
      <c r="P98" s="35">
        <f t="shared" si="3"/>
        <v>45964</v>
      </c>
      <c r="Q98" s="16" t="str">
        <f t="shared" si="4"/>
        <v>2025-11</v>
      </c>
      <c r="R98" s="50"/>
    </row>
    <row r="99" spans="1:18">
      <c r="A99" s="20" t="s">
        <v>459</v>
      </c>
      <c r="B99" s="10">
        <v>45925</v>
      </c>
      <c r="C99" s="11" t="s">
        <v>454</v>
      </c>
      <c r="D99" s="11" t="s">
        <v>45</v>
      </c>
      <c r="E99" s="11" t="s">
        <v>22</v>
      </c>
      <c r="F99" s="11" t="s">
        <v>23</v>
      </c>
      <c r="G99" s="11">
        <v>1</v>
      </c>
      <c r="H99" s="11">
        <v>76.349999999999994</v>
      </c>
      <c r="I99" s="11">
        <v>0</v>
      </c>
      <c r="J99" s="11">
        <v>76.349999999999994</v>
      </c>
      <c r="K99" s="11">
        <v>52.1</v>
      </c>
      <c r="L99" s="11">
        <v>24.25</v>
      </c>
      <c r="M99" s="11" t="s">
        <v>18</v>
      </c>
      <c r="N99" s="11" t="s">
        <v>727</v>
      </c>
      <c r="O99" s="18" t="s">
        <v>727</v>
      </c>
      <c r="P99" s="35">
        <f t="shared" si="3"/>
        <v>45925</v>
      </c>
      <c r="Q99" s="16" t="str">
        <f t="shared" si="4"/>
        <v>2025-09</v>
      </c>
      <c r="R99" s="50"/>
    </row>
    <row r="100" spans="1:18">
      <c r="A100" s="21" t="s">
        <v>499</v>
      </c>
      <c r="B100" s="19">
        <v>45942</v>
      </c>
      <c r="C100" s="16" t="s">
        <v>500</v>
      </c>
      <c r="D100" s="16" t="s">
        <v>21</v>
      </c>
      <c r="E100" s="16" t="s">
        <v>22</v>
      </c>
      <c r="F100" s="16" t="s">
        <v>36</v>
      </c>
      <c r="G100" s="16">
        <v>1</v>
      </c>
      <c r="H100" s="16">
        <v>77.53</v>
      </c>
      <c r="I100" s="16">
        <v>0</v>
      </c>
      <c r="J100" s="16">
        <v>77.53</v>
      </c>
      <c r="K100" s="16">
        <v>60.08</v>
      </c>
      <c r="L100" s="16">
        <v>17.45</v>
      </c>
      <c r="M100" s="16" t="s">
        <v>18</v>
      </c>
      <c r="N100" s="16" t="s">
        <v>727</v>
      </c>
      <c r="O100" s="17" t="s">
        <v>727</v>
      </c>
      <c r="P100" s="35">
        <f t="shared" si="3"/>
        <v>45942</v>
      </c>
      <c r="Q100" s="16" t="str">
        <f t="shared" si="4"/>
        <v>2025-10</v>
      </c>
      <c r="R100" s="50"/>
    </row>
    <row r="101" spans="1:18">
      <c r="A101" s="20" t="s">
        <v>183</v>
      </c>
      <c r="B101" s="10">
        <v>46017</v>
      </c>
      <c r="C101" s="11" t="s">
        <v>60</v>
      </c>
      <c r="D101" s="11" t="s">
        <v>139</v>
      </c>
      <c r="E101" s="11" t="s">
        <v>16</v>
      </c>
      <c r="F101" s="11" t="s">
        <v>23</v>
      </c>
      <c r="G101" s="11">
        <v>1</v>
      </c>
      <c r="H101" s="11">
        <v>87.14</v>
      </c>
      <c r="I101" s="11">
        <v>0.1</v>
      </c>
      <c r="J101" s="11">
        <v>78.430000000000007</v>
      </c>
      <c r="K101" s="11">
        <v>52.56</v>
      </c>
      <c r="L101" s="11">
        <v>25.87</v>
      </c>
      <c r="M101" s="11" t="s">
        <v>24</v>
      </c>
      <c r="N101" s="11" t="s">
        <v>727</v>
      </c>
      <c r="O101" s="18" t="s">
        <v>727</v>
      </c>
      <c r="P101" s="35">
        <f t="shared" si="3"/>
        <v>46017</v>
      </c>
      <c r="Q101" s="16" t="str">
        <f t="shared" si="4"/>
        <v>2025-12</v>
      </c>
      <c r="R101" s="50"/>
    </row>
    <row r="102" spans="1:18">
      <c r="A102" s="21" t="s">
        <v>680</v>
      </c>
      <c r="B102" s="19">
        <v>45695</v>
      </c>
      <c r="C102" s="16" t="s">
        <v>47</v>
      </c>
      <c r="D102" s="16" t="s">
        <v>29</v>
      </c>
      <c r="E102" s="16" t="s">
        <v>22</v>
      </c>
      <c r="F102" s="16" t="s">
        <v>30</v>
      </c>
      <c r="G102" s="16">
        <v>2</v>
      </c>
      <c r="H102" s="16">
        <v>41.57</v>
      </c>
      <c r="I102" s="16">
        <v>0.05</v>
      </c>
      <c r="J102" s="16">
        <v>78.98</v>
      </c>
      <c r="K102" s="16">
        <v>61.01</v>
      </c>
      <c r="L102" s="16">
        <v>17.97</v>
      </c>
      <c r="M102" s="16" t="s">
        <v>24</v>
      </c>
      <c r="N102" s="16" t="s">
        <v>727</v>
      </c>
      <c r="O102" s="17" t="s">
        <v>727</v>
      </c>
      <c r="P102" s="35">
        <f t="shared" si="3"/>
        <v>45695</v>
      </c>
      <c r="Q102" s="16" t="str">
        <f t="shared" si="4"/>
        <v>2025-02</v>
      </c>
      <c r="R102" s="50"/>
    </row>
    <row r="103" spans="1:18">
      <c r="A103" s="20" t="s">
        <v>368</v>
      </c>
      <c r="B103" s="10">
        <v>45827</v>
      </c>
      <c r="C103" s="11" t="s">
        <v>285</v>
      </c>
      <c r="D103" s="11" t="s">
        <v>21</v>
      </c>
      <c r="E103" s="11" t="s">
        <v>22</v>
      </c>
      <c r="F103" s="11" t="s">
        <v>23</v>
      </c>
      <c r="G103" s="11">
        <v>2</v>
      </c>
      <c r="H103" s="11">
        <v>44.47</v>
      </c>
      <c r="I103" s="11">
        <v>0.1</v>
      </c>
      <c r="J103" s="11">
        <v>80.05</v>
      </c>
      <c r="K103" s="11">
        <v>53.9</v>
      </c>
      <c r="L103" s="11">
        <v>26.15</v>
      </c>
      <c r="M103" s="11" t="s">
        <v>31</v>
      </c>
      <c r="N103" s="11" t="s">
        <v>727</v>
      </c>
      <c r="O103" s="18" t="s">
        <v>727</v>
      </c>
      <c r="P103" s="35">
        <f t="shared" si="3"/>
        <v>45827</v>
      </c>
      <c r="Q103" s="16" t="str">
        <f t="shared" si="4"/>
        <v>2025-06</v>
      </c>
      <c r="R103" s="50"/>
    </row>
    <row r="104" spans="1:18">
      <c r="A104" s="21" t="s">
        <v>411</v>
      </c>
      <c r="B104" s="19">
        <v>45766</v>
      </c>
      <c r="C104" s="16" t="s">
        <v>232</v>
      </c>
      <c r="D104" s="16" t="s">
        <v>34</v>
      </c>
      <c r="E104" s="16" t="s">
        <v>35</v>
      </c>
      <c r="F104" s="16" t="s">
        <v>23</v>
      </c>
      <c r="G104" s="16">
        <v>5</v>
      </c>
      <c r="H104" s="16">
        <v>16.23</v>
      </c>
      <c r="I104" s="16">
        <v>0</v>
      </c>
      <c r="J104" s="16">
        <v>81.150000000000006</v>
      </c>
      <c r="K104" s="16">
        <v>62.8</v>
      </c>
      <c r="L104" s="16">
        <v>18.350000000000001</v>
      </c>
      <c r="M104" s="16" t="s">
        <v>18</v>
      </c>
      <c r="N104" s="16" t="s">
        <v>727</v>
      </c>
      <c r="O104" s="17" t="s">
        <v>727</v>
      </c>
      <c r="P104" s="35">
        <f t="shared" si="3"/>
        <v>45766</v>
      </c>
      <c r="Q104" s="16" t="str">
        <f t="shared" si="4"/>
        <v>2025-04</v>
      </c>
      <c r="R104" s="50"/>
    </row>
    <row r="105" spans="1:18">
      <c r="A105" s="20" t="s">
        <v>78</v>
      </c>
      <c r="B105" s="10">
        <v>45755</v>
      </c>
      <c r="C105" s="11" t="s">
        <v>79</v>
      </c>
      <c r="D105" s="11" t="s">
        <v>45</v>
      </c>
      <c r="E105" s="11" t="s">
        <v>22</v>
      </c>
      <c r="F105" s="11" t="s">
        <v>17</v>
      </c>
      <c r="G105" s="11">
        <v>4</v>
      </c>
      <c r="H105" s="11">
        <v>21.91</v>
      </c>
      <c r="I105" s="11">
        <v>0.05</v>
      </c>
      <c r="J105" s="11">
        <v>83.26</v>
      </c>
      <c r="K105" s="11">
        <v>51.84</v>
      </c>
      <c r="L105" s="11">
        <v>31.42</v>
      </c>
      <c r="M105" s="11" t="s">
        <v>31</v>
      </c>
      <c r="N105" s="11" t="s">
        <v>727</v>
      </c>
      <c r="O105" s="18" t="s">
        <v>727</v>
      </c>
      <c r="P105" s="35">
        <f t="shared" si="3"/>
        <v>45755</v>
      </c>
      <c r="Q105" s="16" t="str">
        <f t="shared" si="4"/>
        <v>2025-04</v>
      </c>
      <c r="R105" s="50"/>
    </row>
    <row r="106" spans="1:18">
      <c r="A106" s="21" t="s">
        <v>144</v>
      </c>
      <c r="B106" s="19">
        <v>45910</v>
      </c>
      <c r="C106" s="16" t="s">
        <v>145</v>
      </c>
      <c r="D106" s="16" t="s">
        <v>34</v>
      </c>
      <c r="E106" s="16" t="s">
        <v>35</v>
      </c>
      <c r="F106" s="16" t="s">
        <v>36</v>
      </c>
      <c r="G106" s="16">
        <v>3</v>
      </c>
      <c r="H106" s="16">
        <v>28.14</v>
      </c>
      <c r="I106" s="16">
        <v>0</v>
      </c>
      <c r="J106" s="16">
        <v>84.42</v>
      </c>
      <c r="K106" s="16">
        <v>65.72</v>
      </c>
      <c r="L106" s="16">
        <v>18.7</v>
      </c>
      <c r="M106" s="16" t="s">
        <v>24</v>
      </c>
      <c r="N106" s="16" t="s">
        <v>727</v>
      </c>
      <c r="O106" s="17" t="s">
        <v>727</v>
      </c>
      <c r="P106" s="35">
        <f t="shared" si="3"/>
        <v>45910</v>
      </c>
      <c r="Q106" s="16" t="str">
        <f t="shared" si="4"/>
        <v>2025-09</v>
      </c>
      <c r="R106" s="50"/>
    </row>
    <row r="107" spans="1:18">
      <c r="A107" s="20" t="s">
        <v>358</v>
      </c>
      <c r="B107" s="10">
        <v>45922</v>
      </c>
      <c r="C107" s="11" t="s">
        <v>359</v>
      </c>
      <c r="D107" s="11" t="s">
        <v>70</v>
      </c>
      <c r="E107" s="11" t="s">
        <v>35</v>
      </c>
      <c r="F107" s="11" t="s">
        <v>30</v>
      </c>
      <c r="G107" s="11">
        <v>1</v>
      </c>
      <c r="H107" s="11">
        <v>84.44</v>
      </c>
      <c r="I107" s="11">
        <v>0</v>
      </c>
      <c r="J107" s="11">
        <v>84.44</v>
      </c>
      <c r="K107" s="11">
        <v>61.31</v>
      </c>
      <c r="L107" s="11">
        <v>23.13</v>
      </c>
      <c r="M107" s="11" t="s">
        <v>18</v>
      </c>
      <c r="N107" s="11" t="s">
        <v>727</v>
      </c>
      <c r="O107" s="18" t="s">
        <v>727</v>
      </c>
      <c r="P107" s="35">
        <f t="shared" si="3"/>
        <v>45922</v>
      </c>
      <c r="Q107" s="16" t="str">
        <f t="shared" si="4"/>
        <v>2025-09</v>
      </c>
      <c r="R107" s="50"/>
    </row>
    <row r="108" spans="1:18">
      <c r="A108" s="21" t="s">
        <v>678</v>
      </c>
      <c r="B108" s="19">
        <v>45838</v>
      </c>
      <c r="C108" s="16" t="s">
        <v>467</v>
      </c>
      <c r="D108" s="16" t="s">
        <v>88</v>
      </c>
      <c r="E108" s="16" t="s">
        <v>16</v>
      </c>
      <c r="F108" s="16" t="s">
        <v>36</v>
      </c>
      <c r="G108" s="16">
        <v>1</v>
      </c>
      <c r="H108" s="16">
        <v>87.05</v>
      </c>
      <c r="I108" s="16">
        <v>0</v>
      </c>
      <c r="J108" s="16">
        <v>87.05</v>
      </c>
      <c r="K108" s="16">
        <v>69.349999999999994</v>
      </c>
      <c r="L108" s="16">
        <v>17.7</v>
      </c>
      <c r="M108" s="16" t="s">
        <v>18</v>
      </c>
      <c r="N108" s="16" t="s">
        <v>727</v>
      </c>
      <c r="O108" s="17" t="s">
        <v>727</v>
      </c>
      <c r="P108" s="35">
        <f t="shared" si="3"/>
        <v>45838</v>
      </c>
      <c r="Q108" s="16" t="str">
        <f t="shared" si="4"/>
        <v>2025-06</v>
      </c>
      <c r="R108" s="50"/>
    </row>
    <row r="109" spans="1:18">
      <c r="A109" s="20" t="s">
        <v>130</v>
      </c>
      <c r="B109" s="10">
        <v>45910</v>
      </c>
      <c r="C109" s="11" t="s">
        <v>131</v>
      </c>
      <c r="D109" s="11" t="s">
        <v>48</v>
      </c>
      <c r="E109" s="11" t="s">
        <v>35</v>
      </c>
      <c r="F109" s="11" t="s">
        <v>17</v>
      </c>
      <c r="G109" s="11">
        <v>2</v>
      </c>
      <c r="H109" s="11">
        <v>43.55</v>
      </c>
      <c r="I109" s="11">
        <v>0</v>
      </c>
      <c r="J109" s="11">
        <v>87.1</v>
      </c>
      <c r="K109" s="11">
        <v>53.51</v>
      </c>
      <c r="L109" s="11">
        <v>33.590000000000003</v>
      </c>
      <c r="M109" s="11" t="s">
        <v>18</v>
      </c>
      <c r="N109" s="11" t="s">
        <v>727</v>
      </c>
      <c r="O109" s="18" t="s">
        <v>727</v>
      </c>
      <c r="P109" s="35">
        <f t="shared" si="3"/>
        <v>45910</v>
      </c>
      <c r="Q109" s="16" t="str">
        <f t="shared" si="4"/>
        <v>2025-09</v>
      </c>
      <c r="R109" s="50"/>
    </row>
    <row r="110" spans="1:18">
      <c r="A110" s="21" t="s">
        <v>684</v>
      </c>
      <c r="B110" s="19">
        <v>45788</v>
      </c>
      <c r="C110" s="16" t="s">
        <v>685</v>
      </c>
      <c r="D110" s="16" t="s">
        <v>48</v>
      </c>
      <c r="E110" s="16" t="s">
        <v>35</v>
      </c>
      <c r="F110" s="16" t="s">
        <v>23</v>
      </c>
      <c r="G110" s="16">
        <v>3</v>
      </c>
      <c r="H110" s="16">
        <v>32.29</v>
      </c>
      <c r="I110" s="16">
        <v>0.1</v>
      </c>
      <c r="J110" s="16">
        <v>87.18</v>
      </c>
      <c r="K110" s="16">
        <v>52.79</v>
      </c>
      <c r="L110" s="16">
        <v>34.39</v>
      </c>
      <c r="M110" s="16" t="s">
        <v>18</v>
      </c>
      <c r="N110" s="16" t="s">
        <v>727</v>
      </c>
      <c r="O110" s="17" t="s">
        <v>727</v>
      </c>
      <c r="P110" s="35">
        <f t="shared" si="3"/>
        <v>45788</v>
      </c>
      <c r="Q110" s="16" t="str">
        <f t="shared" si="4"/>
        <v>2025-05</v>
      </c>
      <c r="R110" s="50"/>
    </row>
    <row r="111" spans="1:18">
      <c r="A111" s="20" t="s">
        <v>156</v>
      </c>
      <c r="B111" s="10">
        <v>45711</v>
      </c>
      <c r="C111" s="11" t="s">
        <v>157</v>
      </c>
      <c r="D111" s="11" t="s">
        <v>15</v>
      </c>
      <c r="E111" s="11" t="s">
        <v>16</v>
      </c>
      <c r="F111" s="11" t="s">
        <v>17</v>
      </c>
      <c r="G111" s="11">
        <v>1</v>
      </c>
      <c r="H111" s="11">
        <v>97.97</v>
      </c>
      <c r="I111" s="11">
        <v>0.1</v>
      </c>
      <c r="J111" s="11">
        <v>88.17</v>
      </c>
      <c r="K111" s="11">
        <v>66.900000000000006</v>
      </c>
      <c r="L111" s="11">
        <v>21.27</v>
      </c>
      <c r="M111" s="11" t="s">
        <v>18</v>
      </c>
      <c r="N111" s="11" t="s">
        <v>727</v>
      </c>
      <c r="O111" s="18" t="s">
        <v>727</v>
      </c>
      <c r="P111" s="35">
        <f t="shared" si="3"/>
        <v>45711</v>
      </c>
      <c r="Q111" s="16" t="str">
        <f t="shared" si="4"/>
        <v>2025-02</v>
      </c>
      <c r="R111" s="50"/>
    </row>
    <row r="112" spans="1:18">
      <c r="A112" s="21" t="s">
        <v>420</v>
      </c>
      <c r="B112" s="19">
        <v>45771</v>
      </c>
      <c r="C112" s="16" t="s">
        <v>253</v>
      </c>
      <c r="D112" s="16" t="s">
        <v>88</v>
      </c>
      <c r="E112" s="16" t="s">
        <v>16</v>
      </c>
      <c r="F112" s="16" t="s">
        <v>23</v>
      </c>
      <c r="G112" s="16">
        <v>2</v>
      </c>
      <c r="H112" s="16">
        <v>46.63</v>
      </c>
      <c r="I112" s="16">
        <v>0.05</v>
      </c>
      <c r="J112" s="16">
        <v>88.6</v>
      </c>
      <c r="K112" s="16">
        <v>60.21</v>
      </c>
      <c r="L112" s="16">
        <v>28.39</v>
      </c>
      <c r="M112" s="16" t="s">
        <v>24</v>
      </c>
      <c r="N112" s="16" t="s">
        <v>727</v>
      </c>
      <c r="O112" s="17" t="s">
        <v>727</v>
      </c>
      <c r="P112" s="35">
        <f t="shared" si="3"/>
        <v>45771</v>
      </c>
      <c r="Q112" s="16" t="str">
        <f t="shared" si="4"/>
        <v>2025-04</v>
      </c>
      <c r="R112" s="50"/>
    </row>
    <row r="113" spans="1:18">
      <c r="A113" s="20" t="s">
        <v>546</v>
      </c>
      <c r="B113" s="10">
        <v>45893</v>
      </c>
      <c r="C113" s="11" t="s">
        <v>500</v>
      </c>
      <c r="D113" s="11" t="s">
        <v>29</v>
      </c>
      <c r="E113" s="11" t="s">
        <v>22</v>
      </c>
      <c r="F113" s="11" t="s">
        <v>23</v>
      </c>
      <c r="G113" s="11">
        <v>1</v>
      </c>
      <c r="H113" s="11">
        <v>89.87</v>
      </c>
      <c r="I113" s="11">
        <v>0</v>
      </c>
      <c r="J113" s="11">
        <v>89.87</v>
      </c>
      <c r="K113" s="11">
        <v>66.53</v>
      </c>
      <c r="L113" s="11">
        <v>23.34</v>
      </c>
      <c r="M113" s="11" t="s">
        <v>18</v>
      </c>
      <c r="N113" s="11" t="s">
        <v>727</v>
      </c>
      <c r="O113" s="18" t="s">
        <v>727</v>
      </c>
      <c r="P113" s="35">
        <f t="shared" si="3"/>
        <v>45893</v>
      </c>
      <c r="Q113" s="16" t="str">
        <f t="shared" si="4"/>
        <v>2025-08</v>
      </c>
      <c r="R113" s="50"/>
    </row>
    <row r="114" spans="1:18">
      <c r="A114" s="21" t="s">
        <v>550</v>
      </c>
      <c r="B114" s="19">
        <v>45960</v>
      </c>
      <c r="C114" s="16" t="s">
        <v>33</v>
      </c>
      <c r="D114" s="16" t="s">
        <v>139</v>
      </c>
      <c r="E114" s="16" t="s">
        <v>16</v>
      </c>
      <c r="F114" s="16" t="s">
        <v>36</v>
      </c>
      <c r="G114" s="16">
        <v>5</v>
      </c>
      <c r="H114" s="16">
        <v>17.989999999999998</v>
      </c>
      <c r="I114" s="16">
        <v>0</v>
      </c>
      <c r="J114" s="16">
        <v>89.95</v>
      </c>
      <c r="K114" s="16">
        <v>63.39</v>
      </c>
      <c r="L114" s="16">
        <v>26.56</v>
      </c>
      <c r="M114" s="16" t="s">
        <v>24</v>
      </c>
      <c r="N114" s="16" t="s">
        <v>727</v>
      </c>
      <c r="O114" s="17" t="s">
        <v>727</v>
      </c>
      <c r="P114" s="35">
        <f t="shared" si="3"/>
        <v>45960</v>
      </c>
      <c r="Q114" s="16" t="str">
        <f t="shared" si="4"/>
        <v>2025-10</v>
      </c>
      <c r="R114" s="50"/>
    </row>
    <row r="115" spans="1:18">
      <c r="A115" s="20" t="s">
        <v>128</v>
      </c>
      <c r="B115" s="10">
        <v>45817</v>
      </c>
      <c r="C115" s="11" t="s">
        <v>65</v>
      </c>
      <c r="D115" s="11" t="s">
        <v>56</v>
      </c>
      <c r="E115" s="11" t="s">
        <v>16</v>
      </c>
      <c r="F115" s="11" t="s">
        <v>23</v>
      </c>
      <c r="G115" s="11">
        <v>1</v>
      </c>
      <c r="H115" s="11">
        <v>100.77</v>
      </c>
      <c r="I115" s="11">
        <v>0.1</v>
      </c>
      <c r="J115" s="11">
        <v>90.69</v>
      </c>
      <c r="K115" s="11">
        <v>66.63</v>
      </c>
      <c r="L115" s="11">
        <v>24.06</v>
      </c>
      <c r="M115" s="11" t="s">
        <v>18</v>
      </c>
      <c r="N115" s="11" t="s">
        <v>727</v>
      </c>
      <c r="O115" s="18" t="s">
        <v>727</v>
      </c>
      <c r="P115" s="35">
        <f t="shared" si="3"/>
        <v>45817</v>
      </c>
      <c r="Q115" s="16" t="str">
        <f t="shared" si="4"/>
        <v>2025-06</v>
      </c>
      <c r="R115" s="50"/>
    </row>
    <row r="116" spans="1:18">
      <c r="A116" s="21" t="s">
        <v>320</v>
      </c>
      <c r="B116" s="19">
        <v>45823</v>
      </c>
      <c r="C116" s="16" t="s">
        <v>321</v>
      </c>
      <c r="D116" s="16" t="s">
        <v>70</v>
      </c>
      <c r="E116" s="16" t="s">
        <v>35</v>
      </c>
      <c r="F116" s="16" t="s">
        <v>36</v>
      </c>
      <c r="G116" s="16">
        <v>5</v>
      </c>
      <c r="H116" s="16">
        <v>22.19</v>
      </c>
      <c r="I116" s="16">
        <v>0.15</v>
      </c>
      <c r="J116" s="16">
        <v>94.31</v>
      </c>
      <c r="K116" s="16">
        <v>61.99</v>
      </c>
      <c r="L116" s="16">
        <v>32.32</v>
      </c>
      <c r="M116" s="16" t="s">
        <v>18</v>
      </c>
      <c r="N116" s="16" t="s">
        <v>727</v>
      </c>
      <c r="O116" s="17" t="s">
        <v>727</v>
      </c>
      <c r="P116" s="35">
        <f t="shared" si="3"/>
        <v>45823</v>
      </c>
      <c r="Q116" s="16" t="str">
        <f t="shared" si="4"/>
        <v>2025-06</v>
      </c>
      <c r="R116" s="50"/>
    </row>
    <row r="117" spans="1:18">
      <c r="A117" s="20" t="s">
        <v>338</v>
      </c>
      <c r="B117" s="10">
        <v>45768</v>
      </c>
      <c r="C117" s="11" t="s">
        <v>40</v>
      </c>
      <c r="D117" s="11" t="s">
        <v>88</v>
      </c>
      <c r="E117" s="11" t="s">
        <v>16</v>
      </c>
      <c r="F117" s="11" t="s">
        <v>23</v>
      </c>
      <c r="G117" s="11">
        <v>5</v>
      </c>
      <c r="H117" s="11">
        <v>19.89</v>
      </c>
      <c r="I117" s="11">
        <v>0.05</v>
      </c>
      <c r="J117" s="11">
        <v>94.48</v>
      </c>
      <c r="K117" s="11">
        <v>54.72</v>
      </c>
      <c r="L117" s="11">
        <v>39.76</v>
      </c>
      <c r="M117" s="11" t="s">
        <v>31</v>
      </c>
      <c r="N117" s="11" t="s">
        <v>727</v>
      </c>
      <c r="O117" s="18" t="s">
        <v>727</v>
      </c>
      <c r="P117" s="35">
        <f t="shared" si="3"/>
        <v>45768</v>
      </c>
      <c r="Q117" s="16" t="str">
        <f t="shared" si="4"/>
        <v>2025-04</v>
      </c>
      <c r="R117" s="50"/>
    </row>
    <row r="118" spans="1:18">
      <c r="A118" s="21" t="s">
        <v>473</v>
      </c>
      <c r="B118" s="19">
        <v>45661</v>
      </c>
      <c r="C118" s="16" t="s">
        <v>474</v>
      </c>
      <c r="D118" s="16" t="s">
        <v>56</v>
      </c>
      <c r="E118" s="16" t="s">
        <v>16</v>
      </c>
      <c r="F118" s="16" t="s">
        <v>17</v>
      </c>
      <c r="G118" s="16">
        <v>1</v>
      </c>
      <c r="H118" s="16">
        <v>120.71</v>
      </c>
      <c r="I118" s="16">
        <v>0.2</v>
      </c>
      <c r="J118" s="16">
        <v>96.57</v>
      </c>
      <c r="K118" s="16">
        <v>55.22</v>
      </c>
      <c r="L118" s="16">
        <v>41.35</v>
      </c>
      <c r="M118" s="16" t="s">
        <v>18</v>
      </c>
      <c r="N118" s="16" t="s">
        <v>727</v>
      </c>
      <c r="O118" s="17" t="s">
        <v>727</v>
      </c>
      <c r="P118" s="35">
        <f t="shared" si="3"/>
        <v>45661</v>
      </c>
      <c r="Q118" s="16" t="str">
        <f t="shared" si="4"/>
        <v>2025-01</v>
      </c>
      <c r="R118" s="50"/>
    </row>
    <row r="119" spans="1:18">
      <c r="A119" s="20" t="s">
        <v>644</v>
      </c>
      <c r="B119" s="10">
        <v>45793</v>
      </c>
      <c r="C119" s="11" t="s">
        <v>120</v>
      </c>
      <c r="D119" s="11" t="s">
        <v>45</v>
      </c>
      <c r="E119" s="11" t="s">
        <v>22</v>
      </c>
      <c r="F119" s="11" t="s">
        <v>30</v>
      </c>
      <c r="G119" s="11">
        <v>4</v>
      </c>
      <c r="H119" s="11">
        <v>24.4</v>
      </c>
      <c r="I119" s="11">
        <v>0</v>
      </c>
      <c r="J119" s="11">
        <v>97.6</v>
      </c>
      <c r="K119" s="11">
        <v>55.1</v>
      </c>
      <c r="L119" s="11">
        <v>42.5</v>
      </c>
      <c r="M119" s="11" t="s">
        <v>24</v>
      </c>
      <c r="N119" s="11" t="s">
        <v>727</v>
      </c>
      <c r="O119" s="18" t="s">
        <v>727</v>
      </c>
      <c r="P119" s="35">
        <f t="shared" si="3"/>
        <v>45793</v>
      </c>
      <c r="Q119" s="16" t="str">
        <f t="shared" si="4"/>
        <v>2025-05</v>
      </c>
      <c r="R119" s="50"/>
    </row>
    <row r="120" spans="1:18">
      <c r="A120" s="21" t="s">
        <v>609</v>
      </c>
      <c r="B120" s="19">
        <v>45722</v>
      </c>
      <c r="C120" s="16" t="s">
        <v>170</v>
      </c>
      <c r="D120" s="16" t="s">
        <v>70</v>
      </c>
      <c r="E120" s="16" t="s">
        <v>35</v>
      </c>
      <c r="F120" s="16" t="s">
        <v>36</v>
      </c>
      <c r="G120" s="16">
        <v>1</v>
      </c>
      <c r="H120" s="16">
        <v>98.43</v>
      </c>
      <c r="I120" s="16">
        <v>0</v>
      </c>
      <c r="J120" s="16">
        <v>98.43</v>
      </c>
      <c r="K120" s="16">
        <v>54.2</v>
      </c>
      <c r="L120" s="16">
        <v>44.23</v>
      </c>
      <c r="M120" s="16" t="s">
        <v>24</v>
      </c>
      <c r="N120" s="16" t="s">
        <v>727</v>
      </c>
      <c r="O120" s="17" t="s">
        <v>727</v>
      </c>
      <c r="P120" s="35">
        <f t="shared" si="3"/>
        <v>45722</v>
      </c>
      <c r="Q120" s="16" t="str">
        <f t="shared" si="4"/>
        <v>2025-03</v>
      </c>
      <c r="R120" s="50"/>
    </row>
    <row r="121" spans="1:18">
      <c r="A121" s="20" t="s">
        <v>121</v>
      </c>
      <c r="B121" s="10">
        <v>45929</v>
      </c>
      <c r="C121" s="11" t="s">
        <v>122</v>
      </c>
      <c r="D121" s="11" t="s">
        <v>34</v>
      </c>
      <c r="E121" s="11" t="s">
        <v>35</v>
      </c>
      <c r="F121" s="11" t="s">
        <v>36</v>
      </c>
      <c r="G121" s="11">
        <v>2</v>
      </c>
      <c r="H121" s="11">
        <v>49.24</v>
      </c>
      <c r="I121" s="11">
        <v>0</v>
      </c>
      <c r="J121" s="11">
        <v>98.48</v>
      </c>
      <c r="K121" s="11">
        <v>59.57</v>
      </c>
      <c r="L121" s="11">
        <v>38.909999999999997</v>
      </c>
      <c r="M121" s="11" t="s">
        <v>31</v>
      </c>
      <c r="N121" s="11" t="s">
        <v>727</v>
      </c>
      <c r="O121" s="18" t="s">
        <v>727</v>
      </c>
      <c r="P121" s="35">
        <f t="shared" si="3"/>
        <v>45929</v>
      </c>
      <c r="Q121" s="16" t="str">
        <f t="shared" si="4"/>
        <v>2025-09</v>
      </c>
      <c r="R121" s="50"/>
    </row>
    <row r="122" spans="1:18">
      <c r="A122" s="21" t="s">
        <v>117</v>
      </c>
      <c r="B122" s="19">
        <v>45802</v>
      </c>
      <c r="C122" s="16" t="s">
        <v>118</v>
      </c>
      <c r="D122" s="16" t="s">
        <v>15</v>
      </c>
      <c r="E122" s="16" t="s">
        <v>16</v>
      </c>
      <c r="F122" s="16" t="s">
        <v>17</v>
      </c>
      <c r="G122" s="16">
        <v>4</v>
      </c>
      <c r="H122" s="16">
        <v>30.83</v>
      </c>
      <c r="I122" s="16">
        <v>0.2</v>
      </c>
      <c r="J122" s="16">
        <v>98.66</v>
      </c>
      <c r="K122" s="16">
        <v>75.41</v>
      </c>
      <c r="L122" s="16">
        <v>23.25</v>
      </c>
      <c r="M122" s="16" t="s">
        <v>18</v>
      </c>
      <c r="N122" s="16" t="s">
        <v>727</v>
      </c>
      <c r="O122" s="17" t="s">
        <v>727</v>
      </c>
      <c r="P122" s="35">
        <f t="shared" si="3"/>
        <v>45802</v>
      </c>
      <c r="Q122" s="16" t="str">
        <f t="shared" si="4"/>
        <v>2025-05</v>
      </c>
      <c r="R122" s="50"/>
    </row>
    <row r="123" spans="1:18">
      <c r="A123" s="20" t="s">
        <v>469</v>
      </c>
      <c r="B123" s="10">
        <v>45820</v>
      </c>
      <c r="C123" s="11" t="s">
        <v>191</v>
      </c>
      <c r="D123" s="11" t="s">
        <v>77</v>
      </c>
      <c r="E123" s="11" t="s">
        <v>22</v>
      </c>
      <c r="F123" s="11" t="s">
        <v>36</v>
      </c>
      <c r="G123" s="11">
        <v>2</v>
      </c>
      <c r="H123" s="11">
        <v>50.03</v>
      </c>
      <c r="I123" s="11">
        <v>0</v>
      </c>
      <c r="J123" s="11">
        <v>100.06</v>
      </c>
      <c r="K123" s="11">
        <v>57.65</v>
      </c>
      <c r="L123" s="11">
        <v>42.41</v>
      </c>
      <c r="M123" s="11" t="s">
        <v>18</v>
      </c>
      <c r="N123" s="11" t="s">
        <v>727</v>
      </c>
      <c r="O123" s="18" t="s">
        <v>727</v>
      </c>
      <c r="P123" s="35">
        <f t="shared" si="3"/>
        <v>45820</v>
      </c>
      <c r="Q123" s="16" t="str">
        <f t="shared" si="4"/>
        <v>2025-06</v>
      </c>
      <c r="R123" s="50"/>
    </row>
    <row r="124" spans="1:18">
      <c r="A124" s="21" t="s">
        <v>229</v>
      </c>
      <c r="B124" s="19">
        <v>45806</v>
      </c>
      <c r="C124" s="16" t="s">
        <v>104</v>
      </c>
      <c r="D124" s="16" t="s">
        <v>41</v>
      </c>
      <c r="E124" s="16" t="s">
        <v>42</v>
      </c>
      <c r="F124" s="16" t="s">
        <v>30</v>
      </c>
      <c r="G124" s="16">
        <v>4</v>
      </c>
      <c r="H124" s="16">
        <v>29.44</v>
      </c>
      <c r="I124" s="16">
        <v>0.15</v>
      </c>
      <c r="J124" s="16">
        <v>100.1</v>
      </c>
      <c r="K124" s="16">
        <v>81.180000000000007</v>
      </c>
      <c r="L124" s="16">
        <v>18.920000000000002</v>
      </c>
      <c r="M124" s="16" t="s">
        <v>18</v>
      </c>
      <c r="N124" s="16" t="s">
        <v>727</v>
      </c>
      <c r="O124" s="17" t="s">
        <v>727</v>
      </c>
      <c r="P124" s="35">
        <f t="shared" si="3"/>
        <v>45806</v>
      </c>
      <c r="Q124" s="16" t="str">
        <f t="shared" si="4"/>
        <v>2025-05</v>
      </c>
      <c r="R124" s="50"/>
    </row>
    <row r="125" spans="1:18">
      <c r="A125" s="20" t="s">
        <v>394</v>
      </c>
      <c r="B125" s="10">
        <v>45682</v>
      </c>
      <c r="C125" s="11" t="s">
        <v>395</v>
      </c>
      <c r="D125" s="11" t="s">
        <v>45</v>
      </c>
      <c r="E125" s="11" t="s">
        <v>22</v>
      </c>
      <c r="F125" s="11" t="s">
        <v>30</v>
      </c>
      <c r="G125" s="11">
        <v>1</v>
      </c>
      <c r="H125" s="11">
        <v>112.28</v>
      </c>
      <c r="I125" s="11">
        <v>0.1</v>
      </c>
      <c r="J125" s="11">
        <v>101.05</v>
      </c>
      <c r="K125" s="11">
        <v>60.88</v>
      </c>
      <c r="L125" s="11">
        <v>40.17</v>
      </c>
      <c r="M125" s="11" t="s">
        <v>18</v>
      </c>
      <c r="N125" s="11" t="s">
        <v>727</v>
      </c>
      <c r="O125" s="18" t="s">
        <v>727</v>
      </c>
      <c r="P125" s="35">
        <f t="shared" si="3"/>
        <v>45682</v>
      </c>
      <c r="Q125" s="16" t="str">
        <f t="shared" si="4"/>
        <v>2025-01</v>
      </c>
      <c r="R125" s="50"/>
    </row>
    <row r="126" spans="1:18">
      <c r="A126" s="21" t="s">
        <v>223</v>
      </c>
      <c r="B126" s="19">
        <v>46017</v>
      </c>
      <c r="C126" s="16" t="s">
        <v>224</v>
      </c>
      <c r="D126" s="16" t="s">
        <v>29</v>
      </c>
      <c r="E126" s="16" t="s">
        <v>22</v>
      </c>
      <c r="F126" s="16" t="s">
        <v>36</v>
      </c>
      <c r="G126" s="16">
        <v>2</v>
      </c>
      <c r="H126" s="16">
        <v>51.31</v>
      </c>
      <c r="I126" s="16">
        <v>0</v>
      </c>
      <c r="J126" s="16">
        <v>102.62</v>
      </c>
      <c r="K126" s="16">
        <v>62.03</v>
      </c>
      <c r="L126" s="16">
        <v>40.590000000000003</v>
      </c>
      <c r="M126" s="16" t="s">
        <v>18</v>
      </c>
      <c r="N126" s="16" t="s">
        <v>727</v>
      </c>
      <c r="O126" s="17" t="s">
        <v>727</v>
      </c>
      <c r="P126" s="35">
        <f t="shared" si="3"/>
        <v>46017</v>
      </c>
      <c r="Q126" s="16" t="str">
        <f t="shared" si="4"/>
        <v>2025-12</v>
      </c>
      <c r="R126" s="50"/>
    </row>
    <row r="127" spans="1:18">
      <c r="A127" s="20" t="s">
        <v>369</v>
      </c>
      <c r="B127" s="10">
        <v>45717</v>
      </c>
      <c r="C127" s="11" t="s">
        <v>152</v>
      </c>
      <c r="D127" s="11" t="s">
        <v>21</v>
      </c>
      <c r="E127" s="11" t="s">
        <v>22</v>
      </c>
      <c r="F127" s="11" t="s">
        <v>36</v>
      </c>
      <c r="G127" s="11">
        <v>2</v>
      </c>
      <c r="H127" s="11">
        <v>51.97</v>
      </c>
      <c r="I127" s="11">
        <v>0</v>
      </c>
      <c r="J127" s="11">
        <v>103.94</v>
      </c>
      <c r="K127" s="11">
        <v>79.989999999999995</v>
      </c>
      <c r="L127" s="11">
        <v>23.95</v>
      </c>
      <c r="M127" s="11" t="s">
        <v>24</v>
      </c>
      <c r="N127" s="11" t="s">
        <v>727</v>
      </c>
      <c r="O127" s="18" t="s">
        <v>727</v>
      </c>
      <c r="P127" s="35">
        <f t="shared" si="3"/>
        <v>45717</v>
      </c>
      <c r="Q127" s="16" t="str">
        <f t="shared" si="4"/>
        <v>2025-03</v>
      </c>
      <c r="R127" s="50"/>
    </row>
    <row r="128" spans="1:18">
      <c r="A128" s="21" t="s">
        <v>140</v>
      </c>
      <c r="B128" s="19">
        <v>45710</v>
      </c>
      <c r="C128" s="16" t="s">
        <v>141</v>
      </c>
      <c r="D128" s="16" t="s">
        <v>56</v>
      </c>
      <c r="E128" s="16" t="s">
        <v>16</v>
      </c>
      <c r="F128" s="16" t="s">
        <v>23</v>
      </c>
      <c r="G128" s="16">
        <v>5</v>
      </c>
      <c r="H128" s="16">
        <v>23.77</v>
      </c>
      <c r="I128" s="16">
        <v>0.1</v>
      </c>
      <c r="J128" s="16">
        <v>106.96</v>
      </c>
      <c r="K128" s="16">
        <v>76.599999999999994</v>
      </c>
      <c r="L128" s="16">
        <v>30.36</v>
      </c>
      <c r="M128" s="16" t="s">
        <v>31</v>
      </c>
      <c r="N128" s="16" t="s">
        <v>728</v>
      </c>
      <c r="O128" s="17" t="s">
        <v>727</v>
      </c>
      <c r="P128" s="35">
        <f t="shared" si="3"/>
        <v>45710</v>
      </c>
      <c r="Q128" s="16" t="str">
        <f t="shared" si="4"/>
        <v>2025-02</v>
      </c>
      <c r="R128" s="50"/>
    </row>
    <row r="129" spans="1:18">
      <c r="A129" s="20" t="s">
        <v>656</v>
      </c>
      <c r="B129" s="10">
        <v>45797</v>
      </c>
      <c r="C129" s="11" t="s">
        <v>182</v>
      </c>
      <c r="D129" s="11" t="s">
        <v>45</v>
      </c>
      <c r="E129" s="11" t="s">
        <v>22</v>
      </c>
      <c r="F129" s="11" t="s">
        <v>30</v>
      </c>
      <c r="G129" s="11">
        <v>1</v>
      </c>
      <c r="H129" s="11">
        <v>107.19</v>
      </c>
      <c r="I129" s="11">
        <v>0</v>
      </c>
      <c r="J129" s="11">
        <v>107.19</v>
      </c>
      <c r="K129" s="11">
        <v>62.01</v>
      </c>
      <c r="L129" s="11">
        <v>45.18</v>
      </c>
      <c r="M129" s="11" t="s">
        <v>24</v>
      </c>
      <c r="N129" s="11" t="s">
        <v>727</v>
      </c>
      <c r="O129" s="18" t="s">
        <v>727</v>
      </c>
      <c r="P129" s="35">
        <f t="shared" si="3"/>
        <v>45797</v>
      </c>
      <c r="Q129" s="16" t="str">
        <f t="shared" si="4"/>
        <v>2025-05</v>
      </c>
      <c r="R129" s="50"/>
    </row>
    <row r="130" spans="1:18">
      <c r="A130" s="21" t="s">
        <v>649</v>
      </c>
      <c r="B130" s="19">
        <v>45795</v>
      </c>
      <c r="C130" s="16" t="s">
        <v>425</v>
      </c>
      <c r="D130" s="16" t="s">
        <v>29</v>
      </c>
      <c r="E130" s="16" t="s">
        <v>22</v>
      </c>
      <c r="F130" s="16" t="s">
        <v>17</v>
      </c>
      <c r="G130" s="16">
        <v>3</v>
      </c>
      <c r="H130" s="16">
        <v>39.880000000000003</v>
      </c>
      <c r="I130" s="16">
        <v>0.1</v>
      </c>
      <c r="J130" s="16">
        <v>107.68</v>
      </c>
      <c r="K130" s="16">
        <v>87.05</v>
      </c>
      <c r="L130" s="16">
        <v>20.63</v>
      </c>
      <c r="M130" s="16" t="s">
        <v>24</v>
      </c>
      <c r="N130" s="16" t="s">
        <v>727</v>
      </c>
      <c r="O130" s="17" t="s">
        <v>727</v>
      </c>
      <c r="P130" s="35">
        <f t="shared" ref="P130:P193" si="5">IF(ISNUMBER(B130),INT(B130),"")</f>
        <v>45795</v>
      </c>
      <c r="Q130" s="16" t="str">
        <f t="shared" ref="Q130:Q193" si="6">IF(ISNUMBER(B130),TEXT(B130,"yyyy-mm"),"Invalid/Missing")</f>
        <v>2025-05</v>
      </c>
      <c r="R130" s="50"/>
    </row>
    <row r="131" spans="1:18">
      <c r="A131" s="20" t="s">
        <v>376</v>
      </c>
      <c r="B131" s="10">
        <v>45730</v>
      </c>
      <c r="C131" s="11" t="s">
        <v>377</v>
      </c>
      <c r="D131" s="11" t="s">
        <v>45</v>
      </c>
      <c r="E131" s="11" t="s">
        <v>22</v>
      </c>
      <c r="F131" s="11" t="s">
        <v>30</v>
      </c>
      <c r="G131" s="11">
        <v>5</v>
      </c>
      <c r="H131" s="11">
        <v>21.66</v>
      </c>
      <c r="I131" s="11">
        <v>0</v>
      </c>
      <c r="J131" s="11">
        <v>108.3</v>
      </c>
      <c r="K131" s="11">
        <v>88.62</v>
      </c>
      <c r="L131" s="11">
        <v>19.68</v>
      </c>
      <c r="M131" s="11" t="s">
        <v>18</v>
      </c>
      <c r="N131" s="11" t="s">
        <v>727</v>
      </c>
      <c r="O131" s="18" t="s">
        <v>727</v>
      </c>
      <c r="P131" s="35">
        <f t="shared" si="5"/>
        <v>45730</v>
      </c>
      <c r="Q131" s="16" t="str">
        <f t="shared" si="6"/>
        <v>2025-03</v>
      </c>
      <c r="R131" s="50"/>
    </row>
    <row r="132" spans="1:18">
      <c r="A132" s="21" t="s">
        <v>378</v>
      </c>
      <c r="B132" s="19">
        <v>45662</v>
      </c>
      <c r="C132" s="16" t="s">
        <v>379</v>
      </c>
      <c r="D132" s="16" t="s">
        <v>56</v>
      </c>
      <c r="E132" s="16" t="s">
        <v>16</v>
      </c>
      <c r="F132" s="16" t="s">
        <v>17</v>
      </c>
      <c r="G132" s="16">
        <v>1</v>
      </c>
      <c r="H132" s="16">
        <v>114.15</v>
      </c>
      <c r="I132" s="16">
        <v>0.05</v>
      </c>
      <c r="J132" s="16">
        <v>108.44</v>
      </c>
      <c r="K132" s="16">
        <v>86.7</v>
      </c>
      <c r="L132" s="16">
        <v>21.74</v>
      </c>
      <c r="M132" s="16" t="s">
        <v>24</v>
      </c>
      <c r="N132" s="16" t="s">
        <v>727</v>
      </c>
      <c r="O132" s="17" t="s">
        <v>727</v>
      </c>
      <c r="P132" s="35">
        <f t="shared" si="5"/>
        <v>45662</v>
      </c>
      <c r="Q132" s="16" t="str">
        <f t="shared" si="6"/>
        <v>2025-01</v>
      </c>
      <c r="R132" s="50"/>
    </row>
    <row r="133" spans="1:18">
      <c r="A133" s="20" t="s">
        <v>650</v>
      </c>
      <c r="B133" s="10">
        <v>45975</v>
      </c>
      <c r="C133" s="11" t="s">
        <v>135</v>
      </c>
      <c r="D133" s="11" t="s">
        <v>15</v>
      </c>
      <c r="E133" s="11" t="s">
        <v>16</v>
      </c>
      <c r="F133" s="11" t="s">
        <v>23</v>
      </c>
      <c r="G133" s="11">
        <v>1</v>
      </c>
      <c r="H133" s="11">
        <v>108.56</v>
      </c>
      <c r="I133" s="11">
        <v>0</v>
      </c>
      <c r="J133" s="11">
        <v>108.56</v>
      </c>
      <c r="K133" s="11">
        <v>74.16</v>
      </c>
      <c r="L133" s="11">
        <v>34.4</v>
      </c>
      <c r="M133" s="11" t="s">
        <v>18</v>
      </c>
      <c r="N133" s="11" t="s">
        <v>727</v>
      </c>
      <c r="O133" s="18" t="s">
        <v>727</v>
      </c>
      <c r="P133" s="35">
        <f t="shared" si="5"/>
        <v>45975</v>
      </c>
      <c r="Q133" s="16" t="str">
        <f t="shared" si="6"/>
        <v>2025-11</v>
      </c>
      <c r="R133" s="50"/>
    </row>
    <row r="134" spans="1:18">
      <c r="A134" s="21" t="s">
        <v>302</v>
      </c>
      <c r="B134" s="19">
        <v>45981</v>
      </c>
      <c r="C134" s="16" t="s">
        <v>303</v>
      </c>
      <c r="D134" s="16" t="s">
        <v>45</v>
      </c>
      <c r="E134" s="16" t="s">
        <v>22</v>
      </c>
      <c r="F134" s="16" t="s">
        <v>23</v>
      </c>
      <c r="G134" s="16">
        <v>5</v>
      </c>
      <c r="H134" s="16">
        <v>25.63</v>
      </c>
      <c r="I134" s="16">
        <v>0.15</v>
      </c>
      <c r="J134" s="16">
        <v>108.93</v>
      </c>
      <c r="K134" s="16">
        <v>82.39</v>
      </c>
      <c r="L134" s="16">
        <v>26.54</v>
      </c>
      <c r="M134" s="16" t="s">
        <v>18</v>
      </c>
      <c r="N134" s="16" t="s">
        <v>727</v>
      </c>
      <c r="O134" s="17" t="s">
        <v>727</v>
      </c>
      <c r="P134" s="35">
        <f t="shared" si="5"/>
        <v>45981</v>
      </c>
      <c r="Q134" s="16" t="str">
        <f t="shared" si="6"/>
        <v>2025-11</v>
      </c>
      <c r="R134" s="50"/>
    </row>
    <row r="135" spans="1:18">
      <c r="A135" s="20" t="s">
        <v>326</v>
      </c>
      <c r="B135" s="10">
        <v>45776</v>
      </c>
      <c r="C135" s="11" t="s">
        <v>33</v>
      </c>
      <c r="D135" s="11" t="s">
        <v>70</v>
      </c>
      <c r="E135" s="11" t="s">
        <v>35</v>
      </c>
      <c r="F135" s="11" t="s">
        <v>17</v>
      </c>
      <c r="G135" s="11">
        <v>3</v>
      </c>
      <c r="H135" s="11">
        <v>45.7</v>
      </c>
      <c r="I135" s="11">
        <v>0.2</v>
      </c>
      <c r="J135" s="11">
        <v>109.68</v>
      </c>
      <c r="K135" s="11">
        <v>71.41</v>
      </c>
      <c r="L135" s="11">
        <v>38.270000000000003</v>
      </c>
      <c r="M135" s="11" t="s">
        <v>31</v>
      </c>
      <c r="N135" s="11" t="s">
        <v>727</v>
      </c>
      <c r="O135" s="18" t="s">
        <v>727</v>
      </c>
      <c r="P135" s="35">
        <f t="shared" si="5"/>
        <v>45776</v>
      </c>
      <c r="Q135" s="16" t="str">
        <f t="shared" si="6"/>
        <v>2025-04</v>
      </c>
      <c r="R135" s="50"/>
    </row>
    <row r="136" spans="1:18">
      <c r="A136" s="21" t="s">
        <v>37</v>
      </c>
      <c r="B136" s="19">
        <v>45707</v>
      </c>
      <c r="C136" s="16" t="s">
        <v>38</v>
      </c>
      <c r="D136" s="16" t="s">
        <v>29</v>
      </c>
      <c r="E136" s="16" t="s">
        <v>22</v>
      </c>
      <c r="F136" s="16" t="s">
        <v>23</v>
      </c>
      <c r="G136" s="16">
        <v>4</v>
      </c>
      <c r="H136" s="16">
        <v>28.99</v>
      </c>
      <c r="I136" s="16">
        <v>0.05</v>
      </c>
      <c r="J136" s="16">
        <v>110.16</v>
      </c>
      <c r="K136" s="16">
        <v>61.72</v>
      </c>
      <c r="L136" s="16">
        <v>48.44</v>
      </c>
      <c r="M136" s="16" t="s">
        <v>18</v>
      </c>
      <c r="N136" s="16" t="s">
        <v>727</v>
      </c>
      <c r="O136" s="17" t="s">
        <v>727</v>
      </c>
      <c r="P136" s="35">
        <f t="shared" si="5"/>
        <v>45707</v>
      </c>
      <c r="Q136" s="16" t="str">
        <f t="shared" si="6"/>
        <v>2025-02</v>
      </c>
      <c r="R136" s="50"/>
    </row>
    <row r="137" spans="1:18">
      <c r="A137" s="20" t="s">
        <v>463</v>
      </c>
      <c r="B137" s="10">
        <v>45833</v>
      </c>
      <c r="C137" s="11" t="s">
        <v>259</v>
      </c>
      <c r="D137" s="11" t="s">
        <v>53</v>
      </c>
      <c r="E137" s="11" t="s">
        <v>42</v>
      </c>
      <c r="F137" s="11" t="s">
        <v>30</v>
      </c>
      <c r="G137" s="11">
        <v>1</v>
      </c>
      <c r="H137" s="11">
        <v>110.88</v>
      </c>
      <c r="I137" s="11">
        <v>0</v>
      </c>
      <c r="J137" s="11">
        <v>110.88</v>
      </c>
      <c r="K137" s="11">
        <v>73.08</v>
      </c>
      <c r="L137" s="11">
        <v>37.799999999999997</v>
      </c>
      <c r="M137" s="11" t="s">
        <v>24</v>
      </c>
      <c r="N137" s="11" t="s">
        <v>727</v>
      </c>
      <c r="O137" s="18" t="s">
        <v>727</v>
      </c>
      <c r="P137" s="35">
        <f t="shared" si="5"/>
        <v>45833</v>
      </c>
      <c r="Q137" s="16" t="str">
        <f t="shared" si="6"/>
        <v>2025-06</v>
      </c>
      <c r="R137" s="50"/>
    </row>
    <row r="138" spans="1:18">
      <c r="A138" s="21" t="s">
        <v>542</v>
      </c>
      <c r="B138" s="19">
        <v>45740</v>
      </c>
      <c r="C138" s="16" t="s">
        <v>280</v>
      </c>
      <c r="D138" s="16" t="s">
        <v>34</v>
      </c>
      <c r="E138" s="16" t="s">
        <v>35</v>
      </c>
      <c r="F138" s="16" t="s">
        <v>36</v>
      </c>
      <c r="G138" s="16">
        <v>2</v>
      </c>
      <c r="H138" s="16">
        <v>61.9</v>
      </c>
      <c r="I138" s="16">
        <v>0.1</v>
      </c>
      <c r="J138" s="16">
        <v>111.42</v>
      </c>
      <c r="K138" s="16">
        <v>91.09</v>
      </c>
      <c r="L138" s="16">
        <v>20.329999999999998</v>
      </c>
      <c r="M138" s="16" t="s">
        <v>31</v>
      </c>
      <c r="N138" s="16" t="s">
        <v>727</v>
      </c>
      <c r="O138" s="17" t="s">
        <v>727</v>
      </c>
      <c r="P138" s="35">
        <f t="shared" si="5"/>
        <v>45740</v>
      </c>
      <c r="Q138" s="16" t="str">
        <f t="shared" si="6"/>
        <v>2025-03</v>
      </c>
      <c r="R138" s="50"/>
    </row>
    <row r="139" spans="1:18">
      <c r="A139" s="20" t="s">
        <v>511</v>
      </c>
      <c r="B139" s="10">
        <v>45963</v>
      </c>
      <c r="C139" s="11" t="s">
        <v>168</v>
      </c>
      <c r="D139" s="11" t="s">
        <v>77</v>
      </c>
      <c r="E139" s="11" t="s">
        <v>22</v>
      </c>
      <c r="F139" s="11" t="s">
        <v>17</v>
      </c>
      <c r="G139" s="11">
        <v>3</v>
      </c>
      <c r="H139" s="11">
        <v>43.92</v>
      </c>
      <c r="I139" s="11">
        <v>0.15</v>
      </c>
      <c r="J139" s="11">
        <v>112</v>
      </c>
      <c r="K139" s="11">
        <v>75.52</v>
      </c>
      <c r="L139" s="11">
        <v>36.479999999999997</v>
      </c>
      <c r="M139" s="11" t="s">
        <v>18</v>
      </c>
      <c r="N139" s="11" t="s">
        <v>727</v>
      </c>
      <c r="O139" s="18" t="s">
        <v>727</v>
      </c>
      <c r="P139" s="35">
        <f t="shared" si="5"/>
        <v>45963</v>
      </c>
      <c r="Q139" s="16" t="str">
        <f t="shared" si="6"/>
        <v>2025-11</v>
      </c>
      <c r="R139" s="50"/>
    </row>
    <row r="140" spans="1:18">
      <c r="A140" s="21" t="s">
        <v>401</v>
      </c>
      <c r="B140" s="19">
        <v>45920</v>
      </c>
      <c r="C140" s="16" t="s">
        <v>266</v>
      </c>
      <c r="D140" s="16" t="s">
        <v>88</v>
      </c>
      <c r="E140" s="16" t="s">
        <v>16</v>
      </c>
      <c r="F140" s="16" t="s">
        <v>23</v>
      </c>
      <c r="G140" s="16">
        <v>3</v>
      </c>
      <c r="H140" s="16">
        <v>37.35</v>
      </c>
      <c r="I140" s="16">
        <v>0</v>
      </c>
      <c r="J140" s="16">
        <v>112.05</v>
      </c>
      <c r="K140" s="16">
        <v>87.94</v>
      </c>
      <c r="L140" s="16">
        <v>24.11</v>
      </c>
      <c r="M140" s="16" t="s">
        <v>18</v>
      </c>
      <c r="N140" s="16" t="s">
        <v>727</v>
      </c>
      <c r="O140" s="17" t="s">
        <v>727</v>
      </c>
      <c r="P140" s="35">
        <f t="shared" si="5"/>
        <v>45920</v>
      </c>
      <c r="Q140" s="16" t="str">
        <f t="shared" si="6"/>
        <v>2025-09</v>
      </c>
      <c r="R140" s="50"/>
    </row>
    <row r="141" spans="1:18">
      <c r="A141" s="20" t="s">
        <v>416</v>
      </c>
      <c r="B141" s="10">
        <v>45923</v>
      </c>
      <c r="C141" s="11" t="s">
        <v>417</v>
      </c>
      <c r="D141" s="11" t="s">
        <v>77</v>
      </c>
      <c r="E141" s="11" t="s">
        <v>22</v>
      </c>
      <c r="F141" s="11" t="s">
        <v>23</v>
      </c>
      <c r="G141" s="11">
        <v>1</v>
      </c>
      <c r="H141" s="11">
        <v>118.75</v>
      </c>
      <c r="I141" s="11">
        <v>0.05</v>
      </c>
      <c r="J141" s="11">
        <v>112.81</v>
      </c>
      <c r="K141" s="11">
        <v>63.47</v>
      </c>
      <c r="L141" s="11">
        <v>49.34</v>
      </c>
      <c r="M141" s="11" t="s">
        <v>18</v>
      </c>
      <c r="N141" s="11" t="s">
        <v>727</v>
      </c>
      <c r="O141" s="18" t="s">
        <v>727</v>
      </c>
      <c r="P141" s="35">
        <f t="shared" si="5"/>
        <v>45923</v>
      </c>
      <c r="Q141" s="16" t="str">
        <f t="shared" si="6"/>
        <v>2025-09</v>
      </c>
      <c r="R141" s="50"/>
    </row>
    <row r="142" spans="1:18">
      <c r="A142" s="21" t="s">
        <v>205</v>
      </c>
      <c r="B142" s="19">
        <v>46013</v>
      </c>
      <c r="C142" s="16" t="s">
        <v>206</v>
      </c>
      <c r="D142" s="16" t="s">
        <v>45</v>
      </c>
      <c r="E142" s="16" t="s">
        <v>22</v>
      </c>
      <c r="F142" s="16" t="s">
        <v>17</v>
      </c>
      <c r="G142" s="16">
        <v>1</v>
      </c>
      <c r="H142" s="16">
        <v>113.03</v>
      </c>
      <c r="I142" s="16">
        <v>0</v>
      </c>
      <c r="J142" s="16">
        <v>113.03</v>
      </c>
      <c r="K142" s="16">
        <v>81.88</v>
      </c>
      <c r="L142" s="16">
        <v>31.15</v>
      </c>
      <c r="M142" s="16" t="s">
        <v>18</v>
      </c>
      <c r="N142" s="16" t="s">
        <v>727</v>
      </c>
      <c r="O142" s="17" t="s">
        <v>727</v>
      </c>
      <c r="P142" s="35">
        <f t="shared" si="5"/>
        <v>46013</v>
      </c>
      <c r="Q142" s="16" t="str">
        <f t="shared" si="6"/>
        <v>2025-12</v>
      </c>
      <c r="R142" s="50"/>
    </row>
    <row r="143" spans="1:18">
      <c r="A143" s="20" t="s">
        <v>410</v>
      </c>
      <c r="B143" s="10">
        <v>45726</v>
      </c>
      <c r="C143" s="11" t="s">
        <v>76</v>
      </c>
      <c r="D143" s="11" t="s">
        <v>56</v>
      </c>
      <c r="E143" s="11" t="s">
        <v>16</v>
      </c>
      <c r="F143" s="11" t="s">
        <v>23</v>
      </c>
      <c r="G143" s="11">
        <v>1</v>
      </c>
      <c r="H143" s="11">
        <v>113.6</v>
      </c>
      <c r="I143" s="11">
        <v>0</v>
      </c>
      <c r="J143" s="11">
        <v>113.6</v>
      </c>
      <c r="K143" s="11">
        <v>80.150000000000006</v>
      </c>
      <c r="L143" s="11">
        <v>33.450000000000003</v>
      </c>
      <c r="M143" s="11" t="s">
        <v>18</v>
      </c>
      <c r="N143" s="11" t="s">
        <v>727</v>
      </c>
      <c r="O143" s="18" t="s">
        <v>727</v>
      </c>
      <c r="P143" s="35">
        <f t="shared" si="5"/>
        <v>45726</v>
      </c>
      <c r="Q143" s="16" t="str">
        <f t="shared" si="6"/>
        <v>2025-03</v>
      </c>
      <c r="R143" s="50"/>
    </row>
    <row r="144" spans="1:18">
      <c r="A144" s="21" t="s">
        <v>221</v>
      </c>
      <c r="B144" s="19">
        <v>46022</v>
      </c>
      <c r="C144" s="16" t="s">
        <v>191</v>
      </c>
      <c r="D144" s="16" t="s">
        <v>34</v>
      </c>
      <c r="E144" s="16" t="s">
        <v>35</v>
      </c>
      <c r="F144" s="16" t="s">
        <v>23</v>
      </c>
      <c r="G144" s="16">
        <v>2</v>
      </c>
      <c r="H144" s="16">
        <v>66.84</v>
      </c>
      <c r="I144" s="16">
        <v>0.15</v>
      </c>
      <c r="J144" s="16">
        <v>113.63</v>
      </c>
      <c r="K144" s="16">
        <v>66.27</v>
      </c>
      <c r="L144" s="16">
        <v>47.36</v>
      </c>
      <c r="M144" s="16" t="s">
        <v>24</v>
      </c>
      <c r="N144" s="16" t="s">
        <v>727</v>
      </c>
      <c r="O144" s="17" t="s">
        <v>727</v>
      </c>
      <c r="P144" s="35">
        <f t="shared" si="5"/>
        <v>46022</v>
      </c>
      <c r="Q144" s="16" t="str">
        <f t="shared" si="6"/>
        <v>2025-12</v>
      </c>
      <c r="R144" s="50"/>
    </row>
    <row r="145" spans="1:18">
      <c r="A145" s="20" t="s">
        <v>676</v>
      </c>
      <c r="B145" s="10">
        <v>45688</v>
      </c>
      <c r="C145" s="11" t="s">
        <v>194</v>
      </c>
      <c r="D145" s="11" t="s">
        <v>61</v>
      </c>
      <c r="E145" s="11" t="s">
        <v>42</v>
      </c>
      <c r="F145" s="11" t="s">
        <v>17</v>
      </c>
      <c r="G145" s="11">
        <v>2</v>
      </c>
      <c r="H145" s="11">
        <v>66.930000000000007</v>
      </c>
      <c r="I145" s="11">
        <v>0.15</v>
      </c>
      <c r="J145" s="11">
        <v>113.78</v>
      </c>
      <c r="K145" s="11">
        <v>67.87</v>
      </c>
      <c r="L145" s="11">
        <v>45.91</v>
      </c>
      <c r="M145" s="11" t="s">
        <v>18</v>
      </c>
      <c r="N145" s="11" t="s">
        <v>727</v>
      </c>
      <c r="O145" s="18" t="s">
        <v>727</v>
      </c>
      <c r="P145" s="35">
        <f t="shared" si="5"/>
        <v>45688</v>
      </c>
      <c r="Q145" s="16" t="str">
        <f t="shared" si="6"/>
        <v>2025-01</v>
      </c>
      <c r="R145" s="50"/>
    </row>
    <row r="146" spans="1:18">
      <c r="A146" s="21" t="s">
        <v>567</v>
      </c>
      <c r="B146" s="19">
        <v>45765</v>
      </c>
      <c r="C146" s="16" t="s">
        <v>94</v>
      </c>
      <c r="D146" s="16" t="s">
        <v>110</v>
      </c>
      <c r="E146" s="16" t="s">
        <v>35</v>
      </c>
      <c r="F146" s="16" t="s">
        <v>30</v>
      </c>
      <c r="G146" s="16">
        <v>3</v>
      </c>
      <c r="H146" s="16">
        <v>38.29</v>
      </c>
      <c r="I146" s="16">
        <v>0</v>
      </c>
      <c r="J146" s="16">
        <v>114.87</v>
      </c>
      <c r="K146" s="16">
        <v>63.63</v>
      </c>
      <c r="L146" s="16">
        <v>51.24</v>
      </c>
      <c r="M146" s="16" t="s">
        <v>24</v>
      </c>
      <c r="N146" s="16" t="s">
        <v>727</v>
      </c>
      <c r="O146" s="17" t="s">
        <v>727</v>
      </c>
      <c r="P146" s="35">
        <f t="shared" si="5"/>
        <v>45765</v>
      </c>
      <c r="Q146" s="16" t="str">
        <f t="shared" si="6"/>
        <v>2025-04</v>
      </c>
      <c r="R146" s="50"/>
    </row>
    <row r="147" spans="1:18">
      <c r="A147" s="20" t="s">
        <v>407</v>
      </c>
      <c r="B147" s="10">
        <v>45878</v>
      </c>
      <c r="C147" s="11" t="s">
        <v>191</v>
      </c>
      <c r="D147" s="11" t="s">
        <v>61</v>
      </c>
      <c r="E147" s="11" t="s">
        <v>42</v>
      </c>
      <c r="F147" s="11" t="s">
        <v>30</v>
      </c>
      <c r="G147" s="11">
        <v>2</v>
      </c>
      <c r="H147" s="11">
        <v>63.84</v>
      </c>
      <c r="I147" s="11">
        <v>0.1</v>
      </c>
      <c r="J147" s="11">
        <v>114.91</v>
      </c>
      <c r="K147" s="11">
        <v>79.61</v>
      </c>
      <c r="L147" s="11">
        <v>35.299999999999997</v>
      </c>
      <c r="M147" s="11" t="s">
        <v>18</v>
      </c>
      <c r="N147" s="11" t="s">
        <v>727</v>
      </c>
      <c r="O147" s="18" t="s">
        <v>727</v>
      </c>
      <c r="P147" s="35">
        <f t="shared" si="5"/>
        <v>45878</v>
      </c>
      <c r="Q147" s="16" t="str">
        <f t="shared" si="6"/>
        <v>2025-08</v>
      </c>
      <c r="R147" s="50"/>
    </row>
    <row r="148" spans="1:18">
      <c r="A148" s="21" t="s">
        <v>528</v>
      </c>
      <c r="B148" s="19">
        <v>45770</v>
      </c>
      <c r="C148" s="16" t="s">
        <v>47</v>
      </c>
      <c r="D148" s="16" t="s">
        <v>77</v>
      </c>
      <c r="E148" s="16" t="s">
        <v>22</v>
      </c>
      <c r="F148" s="16" t="s">
        <v>36</v>
      </c>
      <c r="G148" s="16">
        <v>1</v>
      </c>
      <c r="H148" s="16">
        <v>144.46</v>
      </c>
      <c r="I148" s="16">
        <v>0.2</v>
      </c>
      <c r="J148" s="16">
        <v>115.57</v>
      </c>
      <c r="K148" s="16">
        <v>70.52</v>
      </c>
      <c r="L148" s="16">
        <v>45.05</v>
      </c>
      <c r="M148" s="16" t="s">
        <v>18</v>
      </c>
      <c r="N148" s="16" t="s">
        <v>727</v>
      </c>
      <c r="O148" s="17" t="s">
        <v>727</v>
      </c>
      <c r="P148" s="35">
        <f t="shared" si="5"/>
        <v>45770</v>
      </c>
      <c r="Q148" s="16" t="str">
        <f t="shared" si="6"/>
        <v>2025-04</v>
      </c>
      <c r="R148" s="50"/>
    </row>
    <row r="149" spans="1:18">
      <c r="A149" s="20" t="s">
        <v>19</v>
      </c>
      <c r="B149" s="10">
        <v>45951</v>
      </c>
      <c r="C149" s="11" t="s">
        <v>20</v>
      </c>
      <c r="D149" s="11" t="s">
        <v>21</v>
      </c>
      <c r="E149" s="11" t="s">
        <v>22</v>
      </c>
      <c r="F149" s="11" t="s">
        <v>23</v>
      </c>
      <c r="G149" s="11">
        <v>4</v>
      </c>
      <c r="H149" s="11">
        <v>32.57</v>
      </c>
      <c r="I149" s="11">
        <v>0.1</v>
      </c>
      <c r="J149" s="11">
        <v>117.25</v>
      </c>
      <c r="K149" s="11">
        <v>66.47</v>
      </c>
      <c r="L149" s="11">
        <v>50.78</v>
      </c>
      <c r="M149" s="11" t="s">
        <v>24</v>
      </c>
      <c r="N149" s="11" t="s">
        <v>727</v>
      </c>
      <c r="O149" s="18" t="s">
        <v>727</v>
      </c>
      <c r="P149" s="35">
        <f t="shared" si="5"/>
        <v>45951</v>
      </c>
      <c r="Q149" s="16" t="str">
        <f t="shared" si="6"/>
        <v>2025-10</v>
      </c>
      <c r="R149" s="50"/>
    </row>
    <row r="150" spans="1:18">
      <c r="A150" s="21" t="s">
        <v>573</v>
      </c>
      <c r="B150" s="19">
        <v>45770</v>
      </c>
      <c r="C150" s="16" t="s">
        <v>321</v>
      </c>
      <c r="D150" s="16" t="s">
        <v>70</v>
      </c>
      <c r="E150" s="16" t="s">
        <v>35</v>
      </c>
      <c r="F150" s="16" t="s">
        <v>17</v>
      </c>
      <c r="G150" s="16">
        <v>1</v>
      </c>
      <c r="H150" s="16">
        <v>117.3</v>
      </c>
      <c r="I150" s="16">
        <v>0</v>
      </c>
      <c r="J150" s="16">
        <v>117.3</v>
      </c>
      <c r="K150" s="16">
        <v>65.66</v>
      </c>
      <c r="L150" s="16">
        <v>51.64</v>
      </c>
      <c r="M150" s="16" t="s">
        <v>18</v>
      </c>
      <c r="N150" s="16" t="s">
        <v>727</v>
      </c>
      <c r="O150" s="17" t="s">
        <v>727</v>
      </c>
      <c r="P150" s="35">
        <f t="shared" si="5"/>
        <v>45770</v>
      </c>
      <c r="Q150" s="16" t="str">
        <f t="shared" si="6"/>
        <v>2025-04</v>
      </c>
      <c r="R150" s="50"/>
    </row>
    <row r="151" spans="1:18">
      <c r="A151" s="20" t="s">
        <v>497</v>
      </c>
      <c r="B151" s="10">
        <v>45832</v>
      </c>
      <c r="C151" s="11" t="s">
        <v>65</v>
      </c>
      <c r="D151" s="11" t="s">
        <v>105</v>
      </c>
      <c r="E151" s="11" t="s">
        <v>42</v>
      </c>
      <c r="F151" s="11" t="s">
        <v>36</v>
      </c>
      <c r="G151" s="11">
        <v>1</v>
      </c>
      <c r="H151" s="11">
        <v>117.46</v>
      </c>
      <c r="I151" s="11">
        <v>0</v>
      </c>
      <c r="J151" s="11">
        <v>117.46</v>
      </c>
      <c r="K151" s="11">
        <v>73.680000000000007</v>
      </c>
      <c r="L151" s="11">
        <v>43.78</v>
      </c>
      <c r="M151" s="11" t="s">
        <v>18</v>
      </c>
      <c r="N151" s="11" t="s">
        <v>727</v>
      </c>
      <c r="O151" s="18" t="s">
        <v>727</v>
      </c>
      <c r="P151" s="35">
        <f t="shared" si="5"/>
        <v>45832</v>
      </c>
      <c r="Q151" s="16" t="str">
        <f t="shared" si="6"/>
        <v>2025-06</v>
      </c>
      <c r="R151" s="50"/>
    </row>
    <row r="152" spans="1:18">
      <c r="A152" s="21" t="s">
        <v>281</v>
      </c>
      <c r="B152" s="19">
        <v>45730</v>
      </c>
      <c r="C152" s="16" t="s">
        <v>282</v>
      </c>
      <c r="D152" s="16" t="s">
        <v>110</v>
      </c>
      <c r="E152" s="16" t="s">
        <v>35</v>
      </c>
      <c r="F152" s="16" t="s">
        <v>30</v>
      </c>
      <c r="G152" s="16">
        <v>2</v>
      </c>
      <c r="H152" s="16">
        <v>58.96</v>
      </c>
      <c r="I152" s="16">
        <v>0</v>
      </c>
      <c r="J152" s="16">
        <v>117.92</v>
      </c>
      <c r="K152" s="16">
        <v>66.349999999999994</v>
      </c>
      <c r="L152" s="16">
        <v>51.57</v>
      </c>
      <c r="M152" s="16" t="s">
        <v>18</v>
      </c>
      <c r="N152" s="16" t="s">
        <v>727</v>
      </c>
      <c r="O152" s="17" t="s">
        <v>727</v>
      </c>
      <c r="P152" s="35">
        <f t="shared" si="5"/>
        <v>45730</v>
      </c>
      <c r="Q152" s="16" t="str">
        <f t="shared" si="6"/>
        <v>2025-03</v>
      </c>
      <c r="R152" s="50"/>
    </row>
    <row r="153" spans="1:18">
      <c r="A153" s="20" t="s">
        <v>530</v>
      </c>
      <c r="B153" s="10">
        <v>45947</v>
      </c>
      <c r="C153" s="11" t="s">
        <v>444</v>
      </c>
      <c r="D153" s="11" t="s">
        <v>29</v>
      </c>
      <c r="E153" s="11" t="s">
        <v>22</v>
      </c>
      <c r="F153" s="11" t="s">
        <v>36</v>
      </c>
      <c r="G153" s="11">
        <v>1</v>
      </c>
      <c r="H153" s="11">
        <v>139.77000000000001</v>
      </c>
      <c r="I153" s="11">
        <v>0.15</v>
      </c>
      <c r="J153" s="11">
        <v>118.8</v>
      </c>
      <c r="K153" s="11">
        <v>87.21</v>
      </c>
      <c r="L153" s="11">
        <v>31.59</v>
      </c>
      <c r="M153" s="11" t="s">
        <v>18</v>
      </c>
      <c r="N153" s="11" t="s">
        <v>727</v>
      </c>
      <c r="O153" s="18" t="s">
        <v>727</v>
      </c>
      <c r="P153" s="35">
        <f t="shared" si="5"/>
        <v>45947</v>
      </c>
      <c r="Q153" s="16" t="str">
        <f t="shared" si="6"/>
        <v>2025-10</v>
      </c>
      <c r="R153" s="50"/>
    </row>
    <row r="154" spans="1:18">
      <c r="A154" s="21" t="s">
        <v>413</v>
      </c>
      <c r="B154" s="19">
        <v>45695</v>
      </c>
      <c r="C154" s="16" t="s">
        <v>414</v>
      </c>
      <c r="D154" s="16" t="s">
        <v>139</v>
      </c>
      <c r="E154" s="16" t="s">
        <v>16</v>
      </c>
      <c r="F154" s="16" t="s">
        <v>23</v>
      </c>
      <c r="G154" s="16">
        <v>3</v>
      </c>
      <c r="H154" s="16">
        <v>39.85</v>
      </c>
      <c r="I154" s="16">
        <v>0</v>
      </c>
      <c r="J154" s="16">
        <v>119.55</v>
      </c>
      <c r="K154" s="16">
        <v>69.28</v>
      </c>
      <c r="L154" s="16">
        <v>50.27</v>
      </c>
      <c r="M154" s="16" t="s">
        <v>18</v>
      </c>
      <c r="N154" s="16" t="s">
        <v>727</v>
      </c>
      <c r="O154" s="17" t="s">
        <v>727</v>
      </c>
      <c r="P154" s="35">
        <f t="shared" si="5"/>
        <v>45695</v>
      </c>
      <c r="Q154" s="16" t="str">
        <f t="shared" si="6"/>
        <v>2025-02</v>
      </c>
      <c r="R154" s="50"/>
    </row>
    <row r="155" spans="1:18">
      <c r="A155" s="20" t="s">
        <v>386</v>
      </c>
      <c r="B155" s="10">
        <v>45929</v>
      </c>
      <c r="C155" s="11" t="s">
        <v>224</v>
      </c>
      <c r="D155" s="11" t="s">
        <v>110</v>
      </c>
      <c r="E155" s="11" t="s">
        <v>35</v>
      </c>
      <c r="F155" s="11" t="s">
        <v>23</v>
      </c>
      <c r="G155" s="11">
        <v>5</v>
      </c>
      <c r="H155" s="11">
        <v>23.98</v>
      </c>
      <c r="I155" s="11">
        <v>0</v>
      </c>
      <c r="J155" s="11">
        <v>119.9</v>
      </c>
      <c r="K155" s="11">
        <v>94.29</v>
      </c>
      <c r="L155" s="11">
        <v>25.61</v>
      </c>
      <c r="M155" s="11" t="s">
        <v>18</v>
      </c>
      <c r="N155" s="11" t="s">
        <v>727</v>
      </c>
      <c r="O155" s="18" t="s">
        <v>727</v>
      </c>
      <c r="P155" s="35">
        <f t="shared" si="5"/>
        <v>45929</v>
      </c>
      <c r="Q155" s="16" t="str">
        <f t="shared" si="6"/>
        <v>2025-09</v>
      </c>
      <c r="R155" s="50"/>
    </row>
    <row r="156" spans="1:18">
      <c r="A156" s="21" t="s">
        <v>638</v>
      </c>
      <c r="B156" s="19">
        <v>45743</v>
      </c>
      <c r="C156" s="16" t="s">
        <v>266</v>
      </c>
      <c r="D156" s="16" t="s">
        <v>29</v>
      </c>
      <c r="E156" s="16" t="s">
        <v>22</v>
      </c>
      <c r="F156" s="16" t="s">
        <v>30</v>
      </c>
      <c r="G156" s="16">
        <v>1</v>
      </c>
      <c r="H156" s="16">
        <v>133.79</v>
      </c>
      <c r="I156" s="16">
        <v>0.1</v>
      </c>
      <c r="J156" s="16">
        <v>120.41</v>
      </c>
      <c r="K156" s="16">
        <v>93.41</v>
      </c>
      <c r="L156" s="16">
        <v>27</v>
      </c>
      <c r="M156" s="16" t="s">
        <v>31</v>
      </c>
      <c r="N156" s="16" t="s">
        <v>727</v>
      </c>
      <c r="O156" s="17" t="s">
        <v>727</v>
      </c>
      <c r="P156" s="35">
        <f t="shared" si="5"/>
        <v>45743</v>
      </c>
      <c r="Q156" s="16" t="str">
        <f t="shared" si="6"/>
        <v>2025-03</v>
      </c>
      <c r="R156" s="50"/>
    </row>
    <row r="157" spans="1:18">
      <c r="A157" s="20" t="s">
        <v>262</v>
      </c>
      <c r="B157" s="10">
        <v>46022</v>
      </c>
      <c r="C157" s="11" t="s">
        <v>234</v>
      </c>
      <c r="D157" s="11" t="s">
        <v>45</v>
      </c>
      <c r="E157" s="11" t="s">
        <v>22</v>
      </c>
      <c r="F157" s="11" t="s">
        <v>36</v>
      </c>
      <c r="G157" s="11">
        <v>4</v>
      </c>
      <c r="H157" s="11">
        <v>35.869999999999997</v>
      </c>
      <c r="I157" s="11">
        <v>0.15</v>
      </c>
      <c r="J157" s="11">
        <v>121.96</v>
      </c>
      <c r="K157" s="11">
        <v>98.05</v>
      </c>
      <c r="L157" s="11">
        <v>23.91</v>
      </c>
      <c r="M157" s="11" t="s">
        <v>18</v>
      </c>
      <c r="N157" s="11" t="s">
        <v>727</v>
      </c>
      <c r="O157" s="18" t="s">
        <v>727</v>
      </c>
      <c r="P157" s="35">
        <f t="shared" si="5"/>
        <v>46022</v>
      </c>
      <c r="Q157" s="16" t="str">
        <f t="shared" si="6"/>
        <v>2025-12</v>
      </c>
      <c r="R157" s="50"/>
    </row>
    <row r="158" spans="1:18">
      <c r="A158" s="21" t="s">
        <v>605</v>
      </c>
      <c r="B158" s="19">
        <v>45937</v>
      </c>
      <c r="C158" s="16" t="s">
        <v>454</v>
      </c>
      <c r="D158" s="16" t="s">
        <v>139</v>
      </c>
      <c r="E158" s="16" t="s">
        <v>16</v>
      </c>
      <c r="F158" s="16" t="s">
        <v>36</v>
      </c>
      <c r="G158" s="16">
        <v>3</v>
      </c>
      <c r="H158" s="16">
        <v>43.32</v>
      </c>
      <c r="I158" s="16">
        <v>0.05</v>
      </c>
      <c r="J158" s="16">
        <v>123.46</v>
      </c>
      <c r="K158" s="16">
        <v>77.849999999999994</v>
      </c>
      <c r="L158" s="16">
        <v>45.61</v>
      </c>
      <c r="M158" s="16" t="s">
        <v>24</v>
      </c>
      <c r="N158" s="16" t="s">
        <v>727</v>
      </c>
      <c r="O158" s="17" t="s">
        <v>727</v>
      </c>
      <c r="P158" s="35">
        <f t="shared" si="5"/>
        <v>45937</v>
      </c>
      <c r="Q158" s="16" t="str">
        <f t="shared" si="6"/>
        <v>2025-10</v>
      </c>
      <c r="R158" s="50"/>
    </row>
    <row r="159" spans="1:18">
      <c r="A159" s="20" t="s">
        <v>445</v>
      </c>
      <c r="B159" s="10">
        <v>45763</v>
      </c>
      <c r="C159" s="11" t="s">
        <v>390</v>
      </c>
      <c r="D159" s="11" t="s">
        <v>29</v>
      </c>
      <c r="E159" s="11" t="s">
        <v>22</v>
      </c>
      <c r="F159" s="11" t="s">
        <v>36</v>
      </c>
      <c r="G159" s="11">
        <v>1</v>
      </c>
      <c r="H159" s="11">
        <v>137.24</v>
      </c>
      <c r="I159" s="11">
        <v>0.1</v>
      </c>
      <c r="J159" s="11">
        <v>123.52</v>
      </c>
      <c r="K159" s="11">
        <v>103.38</v>
      </c>
      <c r="L159" s="11">
        <v>20.14</v>
      </c>
      <c r="M159" s="11" t="s">
        <v>24</v>
      </c>
      <c r="N159" s="11" t="s">
        <v>727</v>
      </c>
      <c r="O159" s="18" t="s">
        <v>727</v>
      </c>
      <c r="P159" s="35">
        <f t="shared" si="5"/>
        <v>45763</v>
      </c>
      <c r="Q159" s="16" t="str">
        <f t="shared" si="6"/>
        <v>2025-04</v>
      </c>
      <c r="R159" s="50"/>
    </row>
    <row r="160" spans="1:18">
      <c r="A160" s="21" t="s">
        <v>640</v>
      </c>
      <c r="B160" s="19">
        <v>45896</v>
      </c>
      <c r="C160" s="16" t="s">
        <v>38</v>
      </c>
      <c r="D160" s="16" t="s">
        <v>110</v>
      </c>
      <c r="E160" s="16" t="s">
        <v>35</v>
      </c>
      <c r="F160" s="16" t="s">
        <v>23</v>
      </c>
      <c r="G160" s="16">
        <v>1</v>
      </c>
      <c r="H160" s="16">
        <v>146.21</v>
      </c>
      <c r="I160" s="16">
        <v>0.15</v>
      </c>
      <c r="J160" s="16">
        <v>124.28</v>
      </c>
      <c r="K160" s="16">
        <v>75.94</v>
      </c>
      <c r="L160" s="16">
        <v>48.34</v>
      </c>
      <c r="M160" s="16" t="s">
        <v>24</v>
      </c>
      <c r="N160" s="16" t="s">
        <v>727</v>
      </c>
      <c r="O160" s="17" t="s">
        <v>727</v>
      </c>
      <c r="P160" s="35">
        <f t="shared" si="5"/>
        <v>45896</v>
      </c>
      <c r="Q160" s="16" t="str">
        <f t="shared" si="6"/>
        <v>2025-08</v>
      </c>
      <c r="R160" s="50"/>
    </row>
    <row r="161" spans="1:18">
      <c r="A161" s="20" t="s">
        <v>690</v>
      </c>
      <c r="B161" s="10">
        <v>45813</v>
      </c>
      <c r="C161" s="11" t="s">
        <v>691</v>
      </c>
      <c r="D161" s="11" t="s">
        <v>61</v>
      </c>
      <c r="E161" s="11" t="s">
        <v>42</v>
      </c>
      <c r="F161" s="11" t="s">
        <v>17</v>
      </c>
      <c r="G161" s="11">
        <v>3</v>
      </c>
      <c r="H161" s="11">
        <v>48.96</v>
      </c>
      <c r="I161" s="11">
        <v>0.15</v>
      </c>
      <c r="J161" s="11">
        <v>124.85</v>
      </c>
      <c r="K161" s="11">
        <v>86.2</v>
      </c>
      <c r="L161" s="11">
        <v>38.65</v>
      </c>
      <c r="M161" s="11" t="s">
        <v>18</v>
      </c>
      <c r="N161" s="11" t="s">
        <v>727</v>
      </c>
      <c r="O161" s="18" t="s">
        <v>727</v>
      </c>
      <c r="P161" s="35">
        <f t="shared" si="5"/>
        <v>45813</v>
      </c>
      <c r="Q161" s="16" t="str">
        <f t="shared" si="6"/>
        <v>2025-06</v>
      </c>
      <c r="R161" s="50"/>
    </row>
    <row r="162" spans="1:18">
      <c r="A162" s="21" t="s">
        <v>642</v>
      </c>
      <c r="B162" s="19">
        <v>45719</v>
      </c>
      <c r="C162" s="16" t="s">
        <v>60</v>
      </c>
      <c r="D162" s="16" t="s">
        <v>34</v>
      </c>
      <c r="E162" s="16" t="s">
        <v>35</v>
      </c>
      <c r="F162" s="16" t="s">
        <v>17</v>
      </c>
      <c r="G162" s="16">
        <v>2</v>
      </c>
      <c r="H162" s="16">
        <v>63.24</v>
      </c>
      <c r="I162" s="16">
        <v>0</v>
      </c>
      <c r="J162" s="16">
        <v>126.48</v>
      </c>
      <c r="K162" s="16">
        <v>82.86</v>
      </c>
      <c r="L162" s="16">
        <v>43.62</v>
      </c>
      <c r="M162" s="16" t="s">
        <v>18</v>
      </c>
      <c r="N162" s="16" t="s">
        <v>727</v>
      </c>
      <c r="O162" s="17" t="s">
        <v>727</v>
      </c>
      <c r="P162" s="35">
        <f t="shared" si="5"/>
        <v>45719</v>
      </c>
      <c r="Q162" s="16" t="str">
        <f t="shared" si="6"/>
        <v>2025-03</v>
      </c>
      <c r="R162" s="50"/>
    </row>
    <row r="163" spans="1:18">
      <c r="A163" s="20" t="s">
        <v>146</v>
      </c>
      <c r="B163" s="10">
        <v>45822</v>
      </c>
      <c r="C163" s="11" t="s">
        <v>147</v>
      </c>
      <c r="D163" s="11" t="s">
        <v>48</v>
      </c>
      <c r="E163" s="11" t="s">
        <v>35</v>
      </c>
      <c r="F163" s="11" t="s">
        <v>17</v>
      </c>
      <c r="G163" s="11">
        <v>2</v>
      </c>
      <c r="H163" s="11">
        <v>76.22</v>
      </c>
      <c r="I163" s="11">
        <v>0.15</v>
      </c>
      <c r="J163" s="11">
        <v>129.57</v>
      </c>
      <c r="K163" s="11">
        <v>76.959999999999994</v>
      </c>
      <c r="L163" s="11">
        <v>52.61</v>
      </c>
      <c r="M163" s="11" t="s">
        <v>31</v>
      </c>
      <c r="N163" s="11" t="s">
        <v>727</v>
      </c>
      <c r="O163" s="18" t="s">
        <v>727</v>
      </c>
      <c r="P163" s="35">
        <f t="shared" si="5"/>
        <v>45822</v>
      </c>
      <c r="Q163" s="16" t="str">
        <f t="shared" si="6"/>
        <v>2025-06</v>
      </c>
      <c r="R163" s="50"/>
    </row>
    <row r="164" spans="1:18">
      <c r="A164" s="21" t="s">
        <v>695</v>
      </c>
      <c r="B164" s="19">
        <v>45894</v>
      </c>
      <c r="C164" s="16" t="s">
        <v>377</v>
      </c>
      <c r="D164" s="16" t="s">
        <v>53</v>
      </c>
      <c r="E164" s="16" t="s">
        <v>42</v>
      </c>
      <c r="F164" s="16" t="s">
        <v>23</v>
      </c>
      <c r="G164" s="16">
        <v>1</v>
      </c>
      <c r="H164" s="16">
        <v>144.91</v>
      </c>
      <c r="I164" s="16">
        <v>0.1</v>
      </c>
      <c r="J164" s="16">
        <v>130.41999999999999</v>
      </c>
      <c r="K164" s="16">
        <v>80.16</v>
      </c>
      <c r="L164" s="16">
        <v>50.26</v>
      </c>
      <c r="M164" s="16" t="s">
        <v>24</v>
      </c>
      <c r="N164" s="16" t="s">
        <v>727</v>
      </c>
      <c r="O164" s="17" t="s">
        <v>727</v>
      </c>
      <c r="P164" s="35">
        <f t="shared" si="5"/>
        <v>45894</v>
      </c>
      <c r="Q164" s="16" t="str">
        <f t="shared" si="6"/>
        <v>2025-08</v>
      </c>
      <c r="R164" s="50"/>
    </row>
    <row r="165" spans="1:18">
      <c r="A165" s="20" t="s">
        <v>548</v>
      </c>
      <c r="B165" s="10">
        <v>45873</v>
      </c>
      <c r="C165" s="11" t="s">
        <v>114</v>
      </c>
      <c r="D165" s="11" t="s">
        <v>61</v>
      </c>
      <c r="E165" s="11" t="s">
        <v>42</v>
      </c>
      <c r="F165" s="11" t="s">
        <v>17</v>
      </c>
      <c r="G165" s="11">
        <v>1</v>
      </c>
      <c r="H165" s="11">
        <v>144.94999999999999</v>
      </c>
      <c r="I165" s="11">
        <v>0.1</v>
      </c>
      <c r="J165" s="11">
        <v>130.44999999999999</v>
      </c>
      <c r="K165" s="11">
        <v>73.150000000000006</v>
      </c>
      <c r="L165" s="11">
        <v>57.3</v>
      </c>
      <c r="M165" s="11" t="s">
        <v>18</v>
      </c>
      <c r="N165" s="11" t="s">
        <v>728</v>
      </c>
      <c r="O165" s="18" t="s">
        <v>727</v>
      </c>
      <c r="P165" s="35">
        <f t="shared" si="5"/>
        <v>45873</v>
      </c>
      <c r="Q165" s="16" t="str">
        <f t="shared" si="6"/>
        <v>2025-08</v>
      </c>
      <c r="R165" s="50"/>
    </row>
    <row r="166" spans="1:18">
      <c r="A166" s="21" t="s">
        <v>328</v>
      </c>
      <c r="B166" s="19">
        <v>45962</v>
      </c>
      <c r="C166" s="16" t="s">
        <v>329</v>
      </c>
      <c r="D166" s="16" t="s">
        <v>53</v>
      </c>
      <c r="E166" s="16" t="s">
        <v>42</v>
      </c>
      <c r="F166" s="16" t="s">
        <v>30</v>
      </c>
      <c r="G166" s="16">
        <v>3</v>
      </c>
      <c r="H166" s="16">
        <v>45.94</v>
      </c>
      <c r="I166" s="16">
        <v>0.05</v>
      </c>
      <c r="J166" s="16">
        <v>130.93</v>
      </c>
      <c r="K166" s="16">
        <v>80.010000000000005</v>
      </c>
      <c r="L166" s="16">
        <v>50.92</v>
      </c>
      <c r="M166" s="16" t="s">
        <v>24</v>
      </c>
      <c r="N166" s="16" t="s">
        <v>727</v>
      </c>
      <c r="O166" s="17" t="s">
        <v>727</v>
      </c>
      <c r="P166" s="35">
        <f t="shared" si="5"/>
        <v>45962</v>
      </c>
      <c r="Q166" s="16" t="str">
        <f t="shared" si="6"/>
        <v>2025-11</v>
      </c>
      <c r="R166" s="50"/>
    </row>
    <row r="167" spans="1:18">
      <c r="A167" s="20" t="s">
        <v>672</v>
      </c>
      <c r="B167" s="10">
        <v>45755</v>
      </c>
      <c r="C167" s="11" t="s">
        <v>448</v>
      </c>
      <c r="D167" s="11" t="s">
        <v>21</v>
      </c>
      <c r="E167" s="11" t="s">
        <v>22</v>
      </c>
      <c r="F167" s="11" t="s">
        <v>17</v>
      </c>
      <c r="G167" s="11">
        <v>1</v>
      </c>
      <c r="H167" s="11">
        <v>154.63999999999999</v>
      </c>
      <c r="I167" s="11">
        <v>0.15</v>
      </c>
      <c r="J167" s="11">
        <v>131.44</v>
      </c>
      <c r="K167" s="11">
        <v>75.650000000000006</v>
      </c>
      <c r="L167" s="11">
        <v>55.79</v>
      </c>
      <c r="M167" s="11" t="s">
        <v>18</v>
      </c>
      <c r="N167" s="11" t="s">
        <v>727</v>
      </c>
      <c r="O167" s="18" t="s">
        <v>727</v>
      </c>
      <c r="P167" s="35">
        <f t="shared" si="5"/>
        <v>45755</v>
      </c>
      <c r="Q167" s="16" t="str">
        <f t="shared" si="6"/>
        <v>2025-04</v>
      </c>
      <c r="R167" s="50"/>
    </row>
    <row r="168" spans="1:18">
      <c r="A168" s="21" t="s">
        <v>309</v>
      </c>
      <c r="B168" s="19">
        <v>45678</v>
      </c>
      <c r="C168" s="16" t="s">
        <v>116</v>
      </c>
      <c r="D168" s="16" t="s">
        <v>61</v>
      </c>
      <c r="E168" s="16" t="s">
        <v>42</v>
      </c>
      <c r="F168" s="16" t="s">
        <v>23</v>
      </c>
      <c r="G168" s="16">
        <v>3</v>
      </c>
      <c r="H168" s="16">
        <v>55</v>
      </c>
      <c r="I168" s="16">
        <v>0.2</v>
      </c>
      <c r="J168" s="16">
        <v>132</v>
      </c>
      <c r="K168" s="16">
        <v>78.58</v>
      </c>
      <c r="L168" s="16">
        <v>53.42</v>
      </c>
      <c r="M168" s="16" t="s">
        <v>24</v>
      </c>
      <c r="N168" s="16" t="s">
        <v>727</v>
      </c>
      <c r="O168" s="17" t="s">
        <v>727</v>
      </c>
      <c r="P168" s="35">
        <f t="shared" si="5"/>
        <v>45678</v>
      </c>
      <c r="Q168" s="16" t="str">
        <f t="shared" si="6"/>
        <v>2025-01</v>
      </c>
      <c r="R168" s="50"/>
    </row>
    <row r="169" spans="1:18">
      <c r="A169" s="20" t="s">
        <v>57</v>
      </c>
      <c r="B169" s="10">
        <v>45864</v>
      </c>
      <c r="C169" s="11" t="s">
        <v>58</v>
      </c>
      <c r="D169" s="11" t="s">
        <v>53</v>
      </c>
      <c r="E169" s="11" t="s">
        <v>42</v>
      </c>
      <c r="F169" s="11" t="s">
        <v>36</v>
      </c>
      <c r="G169" s="11">
        <v>1</v>
      </c>
      <c r="H169" s="11">
        <v>132.13999999999999</v>
      </c>
      <c r="I169" s="11">
        <v>0</v>
      </c>
      <c r="J169" s="11">
        <v>132.13999999999999</v>
      </c>
      <c r="K169" s="11">
        <v>82.83</v>
      </c>
      <c r="L169" s="11">
        <v>49.31</v>
      </c>
      <c r="M169" s="11" t="s">
        <v>18</v>
      </c>
      <c r="N169" s="11" t="s">
        <v>727</v>
      </c>
      <c r="O169" s="18" t="s">
        <v>727</v>
      </c>
      <c r="P169" s="35">
        <f t="shared" si="5"/>
        <v>45864</v>
      </c>
      <c r="Q169" s="16" t="str">
        <f t="shared" si="6"/>
        <v>2025-07</v>
      </c>
      <c r="R169" s="50"/>
    </row>
    <row r="170" spans="1:18">
      <c r="A170" s="21" t="s">
        <v>158</v>
      </c>
      <c r="B170" s="19">
        <v>45813</v>
      </c>
      <c r="C170" s="16" t="s">
        <v>159</v>
      </c>
      <c r="D170" s="16" t="s">
        <v>45</v>
      </c>
      <c r="E170" s="16" t="s">
        <v>22</v>
      </c>
      <c r="F170" s="16" t="s">
        <v>23</v>
      </c>
      <c r="G170" s="16">
        <v>1</v>
      </c>
      <c r="H170" s="16">
        <v>165.42</v>
      </c>
      <c r="I170" s="16">
        <v>0.2</v>
      </c>
      <c r="J170" s="16">
        <v>132.34</v>
      </c>
      <c r="K170" s="16">
        <v>75.08</v>
      </c>
      <c r="L170" s="16">
        <v>57.26</v>
      </c>
      <c r="M170" s="16" t="s">
        <v>24</v>
      </c>
      <c r="N170" s="16" t="s">
        <v>727</v>
      </c>
      <c r="O170" s="17" t="s">
        <v>727</v>
      </c>
      <c r="P170" s="35">
        <f t="shared" si="5"/>
        <v>45813</v>
      </c>
      <c r="Q170" s="16" t="str">
        <f t="shared" si="6"/>
        <v>2025-06</v>
      </c>
      <c r="R170" s="50"/>
    </row>
    <row r="171" spans="1:18">
      <c r="A171" s="20" t="s">
        <v>623</v>
      </c>
      <c r="B171" s="10">
        <v>45759</v>
      </c>
      <c r="C171" s="11" t="s">
        <v>224</v>
      </c>
      <c r="D171" s="11" t="s">
        <v>29</v>
      </c>
      <c r="E171" s="11" t="s">
        <v>22</v>
      </c>
      <c r="F171" s="11" t="s">
        <v>30</v>
      </c>
      <c r="G171" s="11">
        <v>1</v>
      </c>
      <c r="H171" s="11">
        <v>139.47999999999999</v>
      </c>
      <c r="I171" s="11">
        <v>0.05</v>
      </c>
      <c r="J171" s="11">
        <v>132.51</v>
      </c>
      <c r="K171" s="11">
        <v>98.93</v>
      </c>
      <c r="L171" s="11">
        <v>33.58</v>
      </c>
      <c r="M171" s="11" t="s">
        <v>18</v>
      </c>
      <c r="N171" s="11" t="s">
        <v>727</v>
      </c>
      <c r="O171" s="18" t="s">
        <v>727</v>
      </c>
      <c r="P171" s="35">
        <f t="shared" si="5"/>
        <v>45759</v>
      </c>
      <c r="Q171" s="16" t="str">
        <f t="shared" si="6"/>
        <v>2025-04</v>
      </c>
      <c r="R171" s="50"/>
    </row>
    <row r="172" spans="1:18">
      <c r="A172" s="21" t="s">
        <v>241</v>
      </c>
      <c r="B172" s="19">
        <v>45819</v>
      </c>
      <c r="C172" s="16" t="s">
        <v>242</v>
      </c>
      <c r="D172" s="16" t="s">
        <v>53</v>
      </c>
      <c r="E172" s="16" t="s">
        <v>42</v>
      </c>
      <c r="F172" s="16" t="s">
        <v>30</v>
      </c>
      <c r="G172" s="16">
        <v>4</v>
      </c>
      <c r="H172" s="16">
        <v>39.29</v>
      </c>
      <c r="I172" s="16">
        <v>0.15</v>
      </c>
      <c r="J172" s="16">
        <v>133.59</v>
      </c>
      <c r="K172" s="16">
        <v>111.39</v>
      </c>
      <c r="L172" s="16">
        <v>22.2</v>
      </c>
      <c r="M172" s="16" t="s">
        <v>18</v>
      </c>
      <c r="N172" s="16" t="s">
        <v>727</v>
      </c>
      <c r="O172" s="17" t="s">
        <v>727</v>
      </c>
      <c r="P172" s="35">
        <f t="shared" si="5"/>
        <v>45819</v>
      </c>
      <c r="Q172" s="16" t="str">
        <f t="shared" si="6"/>
        <v>2025-06</v>
      </c>
      <c r="R172" s="50"/>
    </row>
    <row r="173" spans="1:18">
      <c r="A173" s="20" t="s">
        <v>246</v>
      </c>
      <c r="B173" s="10">
        <v>45822</v>
      </c>
      <c r="C173" s="11" t="s">
        <v>176</v>
      </c>
      <c r="D173" s="11" t="s">
        <v>77</v>
      </c>
      <c r="E173" s="11" t="s">
        <v>22</v>
      </c>
      <c r="F173" s="11" t="s">
        <v>17</v>
      </c>
      <c r="G173" s="11">
        <v>3</v>
      </c>
      <c r="H173" s="11">
        <v>49.83</v>
      </c>
      <c r="I173" s="11">
        <v>0.1</v>
      </c>
      <c r="J173" s="11">
        <v>134.54</v>
      </c>
      <c r="K173" s="11">
        <v>108.53</v>
      </c>
      <c r="L173" s="11">
        <v>26.01</v>
      </c>
      <c r="M173" s="11" t="s">
        <v>18</v>
      </c>
      <c r="N173" s="11" t="s">
        <v>727</v>
      </c>
      <c r="O173" s="18" t="s">
        <v>727</v>
      </c>
      <c r="P173" s="35">
        <f t="shared" si="5"/>
        <v>45822</v>
      </c>
      <c r="Q173" s="16" t="str">
        <f t="shared" si="6"/>
        <v>2025-06</v>
      </c>
      <c r="R173" s="50"/>
    </row>
    <row r="174" spans="1:18">
      <c r="A174" s="21" t="s">
        <v>165</v>
      </c>
      <c r="B174" s="19">
        <v>45998</v>
      </c>
      <c r="C174" s="16" t="s">
        <v>166</v>
      </c>
      <c r="D174" s="16" t="s">
        <v>15</v>
      </c>
      <c r="E174" s="16" t="s">
        <v>16</v>
      </c>
      <c r="F174" s="16" t="s">
        <v>17</v>
      </c>
      <c r="G174" s="16">
        <v>1</v>
      </c>
      <c r="H174" s="16">
        <v>141.75</v>
      </c>
      <c r="I174" s="16">
        <v>0.05</v>
      </c>
      <c r="J174" s="16">
        <v>134.66</v>
      </c>
      <c r="K174" s="16">
        <v>113.87</v>
      </c>
      <c r="L174" s="16">
        <v>20.79</v>
      </c>
      <c r="M174" s="16" t="s">
        <v>18</v>
      </c>
      <c r="N174" s="16" t="s">
        <v>727</v>
      </c>
      <c r="O174" s="17" t="s">
        <v>727</v>
      </c>
      <c r="P174" s="35">
        <f t="shared" si="5"/>
        <v>45998</v>
      </c>
      <c r="Q174" s="16" t="str">
        <f t="shared" si="6"/>
        <v>2025-12</v>
      </c>
      <c r="R174" s="50"/>
    </row>
    <row r="175" spans="1:18">
      <c r="A175" s="20" t="s">
        <v>433</v>
      </c>
      <c r="B175" s="10">
        <v>45811</v>
      </c>
      <c r="C175" s="11" t="s">
        <v>100</v>
      </c>
      <c r="D175" s="11" t="s">
        <v>88</v>
      </c>
      <c r="E175" s="11" t="s">
        <v>16</v>
      </c>
      <c r="F175" s="11" t="s">
        <v>36</v>
      </c>
      <c r="G175" s="11">
        <v>2</v>
      </c>
      <c r="H175" s="11">
        <v>71.349999999999994</v>
      </c>
      <c r="I175" s="11">
        <v>0.05</v>
      </c>
      <c r="J175" s="11">
        <v>135.56</v>
      </c>
      <c r="K175" s="11">
        <v>103.92</v>
      </c>
      <c r="L175" s="11">
        <v>31.64</v>
      </c>
      <c r="M175" s="11" t="s">
        <v>18</v>
      </c>
      <c r="N175" s="11" t="s">
        <v>727</v>
      </c>
      <c r="O175" s="18" t="s">
        <v>727</v>
      </c>
      <c r="P175" s="35">
        <f t="shared" si="5"/>
        <v>45811</v>
      </c>
      <c r="Q175" s="16" t="str">
        <f t="shared" si="6"/>
        <v>2025-06</v>
      </c>
      <c r="R175" s="50"/>
    </row>
    <row r="176" spans="1:18">
      <c r="A176" s="21" t="s">
        <v>632</v>
      </c>
      <c r="B176" s="19">
        <v>45891</v>
      </c>
      <c r="C176" s="16" t="s">
        <v>480</v>
      </c>
      <c r="D176" s="16" t="s">
        <v>56</v>
      </c>
      <c r="E176" s="16" t="s">
        <v>16</v>
      </c>
      <c r="F176" s="16" t="s">
        <v>17</v>
      </c>
      <c r="G176" s="16">
        <v>2</v>
      </c>
      <c r="H176" s="16">
        <v>68.930000000000007</v>
      </c>
      <c r="I176" s="16">
        <v>0</v>
      </c>
      <c r="J176" s="16">
        <v>137.86000000000001</v>
      </c>
      <c r="K176" s="16">
        <v>85.02</v>
      </c>
      <c r="L176" s="16">
        <v>52.84</v>
      </c>
      <c r="M176" s="16" t="s">
        <v>18</v>
      </c>
      <c r="N176" s="16" t="s">
        <v>727</v>
      </c>
      <c r="O176" s="17" t="s">
        <v>727</v>
      </c>
      <c r="P176" s="35">
        <f t="shared" si="5"/>
        <v>45891</v>
      </c>
      <c r="Q176" s="16" t="str">
        <f t="shared" si="6"/>
        <v>2025-08</v>
      </c>
      <c r="R176" s="50"/>
    </row>
    <row r="177" spans="1:18">
      <c r="A177" s="20" t="s">
        <v>436</v>
      </c>
      <c r="B177" s="10">
        <v>45809</v>
      </c>
      <c r="C177" s="11" t="s">
        <v>164</v>
      </c>
      <c r="D177" s="11" t="s">
        <v>41</v>
      </c>
      <c r="E177" s="11" t="s">
        <v>42</v>
      </c>
      <c r="F177" s="11" t="s">
        <v>23</v>
      </c>
      <c r="G177" s="11">
        <v>3</v>
      </c>
      <c r="H177" s="11">
        <v>54.41</v>
      </c>
      <c r="I177" s="11">
        <v>0.15</v>
      </c>
      <c r="J177" s="11">
        <v>138.75</v>
      </c>
      <c r="K177" s="11">
        <v>97.05</v>
      </c>
      <c r="L177" s="11">
        <v>41.7</v>
      </c>
      <c r="M177" s="11" t="s">
        <v>18</v>
      </c>
      <c r="N177" s="11" t="s">
        <v>727</v>
      </c>
      <c r="O177" s="18" t="s">
        <v>727</v>
      </c>
      <c r="P177" s="35">
        <f t="shared" si="5"/>
        <v>45809</v>
      </c>
      <c r="Q177" s="16" t="str">
        <f t="shared" si="6"/>
        <v>2025-06</v>
      </c>
      <c r="R177" s="50"/>
    </row>
    <row r="178" spans="1:18">
      <c r="A178" s="21" t="s">
        <v>428</v>
      </c>
      <c r="B178" s="19">
        <v>46021</v>
      </c>
      <c r="C178" s="16" t="s">
        <v>185</v>
      </c>
      <c r="D178" s="16" t="s">
        <v>15</v>
      </c>
      <c r="E178" s="16" t="s">
        <v>16</v>
      </c>
      <c r="F178" s="16" t="s">
        <v>17</v>
      </c>
      <c r="G178" s="16">
        <v>1</v>
      </c>
      <c r="H178" s="16">
        <v>138.91</v>
      </c>
      <c r="I178" s="16">
        <v>0</v>
      </c>
      <c r="J178" s="16">
        <v>138.91</v>
      </c>
      <c r="K178" s="16">
        <v>95.63</v>
      </c>
      <c r="L178" s="16">
        <v>43.28</v>
      </c>
      <c r="M178" s="16" t="s">
        <v>18</v>
      </c>
      <c r="N178" s="16" t="s">
        <v>727</v>
      </c>
      <c r="O178" s="17" t="s">
        <v>727</v>
      </c>
      <c r="P178" s="35">
        <f t="shared" si="5"/>
        <v>46021</v>
      </c>
      <c r="Q178" s="16" t="str">
        <f t="shared" si="6"/>
        <v>2025-12</v>
      </c>
      <c r="R178" s="50"/>
    </row>
    <row r="179" spans="1:18">
      <c r="A179" s="20" t="s">
        <v>349</v>
      </c>
      <c r="B179" s="10">
        <v>45998</v>
      </c>
      <c r="C179" s="11" t="s">
        <v>83</v>
      </c>
      <c r="D179" s="11" t="s">
        <v>77</v>
      </c>
      <c r="E179" s="11" t="s">
        <v>22</v>
      </c>
      <c r="F179" s="11" t="s">
        <v>17</v>
      </c>
      <c r="G179" s="11">
        <v>5</v>
      </c>
      <c r="H179" s="11">
        <v>32.69</v>
      </c>
      <c r="I179" s="11">
        <v>0.15</v>
      </c>
      <c r="J179" s="11">
        <v>138.93</v>
      </c>
      <c r="K179" s="11">
        <v>106.96</v>
      </c>
      <c r="L179" s="11">
        <v>31.97</v>
      </c>
      <c r="M179" s="11" t="s">
        <v>18</v>
      </c>
      <c r="N179" s="11" t="s">
        <v>727</v>
      </c>
      <c r="O179" s="18" t="s">
        <v>727</v>
      </c>
      <c r="P179" s="35">
        <f t="shared" si="5"/>
        <v>45998</v>
      </c>
      <c r="Q179" s="16" t="str">
        <f t="shared" si="6"/>
        <v>2025-12</v>
      </c>
      <c r="R179" s="50"/>
    </row>
    <row r="180" spans="1:18">
      <c r="A180" s="21" t="s">
        <v>637</v>
      </c>
      <c r="B180" s="19">
        <v>45774</v>
      </c>
      <c r="C180" s="16" t="s">
        <v>76</v>
      </c>
      <c r="D180" s="16" t="s">
        <v>110</v>
      </c>
      <c r="E180" s="16" t="s">
        <v>35</v>
      </c>
      <c r="F180" s="16" t="s">
        <v>36</v>
      </c>
      <c r="G180" s="16">
        <v>1</v>
      </c>
      <c r="H180" s="16">
        <v>155.46</v>
      </c>
      <c r="I180" s="16">
        <v>0.1</v>
      </c>
      <c r="J180" s="16">
        <v>139.91</v>
      </c>
      <c r="K180" s="16">
        <v>94.08</v>
      </c>
      <c r="L180" s="16">
        <v>45.83</v>
      </c>
      <c r="M180" s="16" t="s">
        <v>31</v>
      </c>
      <c r="N180" s="16" t="s">
        <v>727</v>
      </c>
      <c r="O180" s="17" t="s">
        <v>727</v>
      </c>
      <c r="P180" s="35">
        <f t="shared" si="5"/>
        <v>45774</v>
      </c>
      <c r="Q180" s="16" t="str">
        <f t="shared" si="6"/>
        <v>2025-04</v>
      </c>
      <c r="R180" s="50"/>
    </row>
    <row r="181" spans="1:18">
      <c r="A181" s="20" t="s">
        <v>628</v>
      </c>
      <c r="B181" s="10">
        <v>45970</v>
      </c>
      <c r="C181" s="11" t="s">
        <v>629</v>
      </c>
      <c r="D181" s="11" t="s">
        <v>56</v>
      </c>
      <c r="E181" s="11" t="s">
        <v>16</v>
      </c>
      <c r="F181" s="11" t="s">
        <v>36</v>
      </c>
      <c r="G181" s="11">
        <v>1</v>
      </c>
      <c r="H181" s="11">
        <v>155.72</v>
      </c>
      <c r="I181" s="11">
        <v>0.1</v>
      </c>
      <c r="J181" s="11">
        <v>140.15</v>
      </c>
      <c r="K181" s="11">
        <v>112.31</v>
      </c>
      <c r="L181" s="11">
        <v>27.84</v>
      </c>
      <c r="M181" s="11" t="s">
        <v>18</v>
      </c>
      <c r="N181" s="11" t="s">
        <v>727</v>
      </c>
      <c r="O181" s="18" t="s">
        <v>727</v>
      </c>
      <c r="P181" s="35">
        <f t="shared" si="5"/>
        <v>45970</v>
      </c>
      <c r="Q181" s="16" t="str">
        <f t="shared" si="6"/>
        <v>2025-11</v>
      </c>
      <c r="R181" s="50"/>
    </row>
    <row r="182" spans="1:18">
      <c r="A182" s="21" t="s">
        <v>318</v>
      </c>
      <c r="B182" s="19">
        <v>45745</v>
      </c>
      <c r="C182" s="16" t="s">
        <v>161</v>
      </c>
      <c r="D182" s="16" t="s">
        <v>88</v>
      </c>
      <c r="E182" s="16" t="s">
        <v>16</v>
      </c>
      <c r="F182" s="16" t="s">
        <v>30</v>
      </c>
      <c r="G182" s="16">
        <v>1</v>
      </c>
      <c r="H182" s="16">
        <v>155.94</v>
      </c>
      <c r="I182" s="16">
        <v>0.1</v>
      </c>
      <c r="J182" s="16">
        <v>140.35</v>
      </c>
      <c r="K182" s="16">
        <v>78.86</v>
      </c>
      <c r="L182" s="16">
        <v>61.49</v>
      </c>
      <c r="M182" s="16" t="s">
        <v>18</v>
      </c>
      <c r="N182" s="16" t="s">
        <v>727</v>
      </c>
      <c r="O182" s="17" t="s">
        <v>727</v>
      </c>
      <c r="P182" s="35">
        <f t="shared" si="5"/>
        <v>45745</v>
      </c>
      <c r="Q182" s="16" t="str">
        <f t="shared" si="6"/>
        <v>2025-03</v>
      </c>
      <c r="R182" s="50"/>
    </row>
    <row r="183" spans="1:18">
      <c r="A183" s="20" t="s">
        <v>340</v>
      </c>
      <c r="B183" s="10">
        <v>45667</v>
      </c>
      <c r="C183" s="11" t="s">
        <v>157</v>
      </c>
      <c r="D183" s="11" t="s">
        <v>70</v>
      </c>
      <c r="E183" s="11" t="s">
        <v>35</v>
      </c>
      <c r="F183" s="11" t="s">
        <v>36</v>
      </c>
      <c r="G183" s="11">
        <v>1</v>
      </c>
      <c r="H183" s="11">
        <v>141.04</v>
      </c>
      <c r="I183" s="11">
        <v>0</v>
      </c>
      <c r="J183" s="11">
        <v>141.04</v>
      </c>
      <c r="K183" s="11">
        <v>118.61</v>
      </c>
      <c r="L183" s="11">
        <v>22.43</v>
      </c>
      <c r="M183" s="11" t="s">
        <v>18</v>
      </c>
      <c r="N183" s="11" t="s">
        <v>727</v>
      </c>
      <c r="O183" s="18" t="s">
        <v>727</v>
      </c>
      <c r="P183" s="35">
        <f t="shared" si="5"/>
        <v>45667</v>
      </c>
      <c r="Q183" s="16" t="str">
        <f t="shared" si="6"/>
        <v>2025-01</v>
      </c>
      <c r="R183" s="50"/>
    </row>
    <row r="184" spans="1:18">
      <c r="A184" s="21" t="s">
        <v>313</v>
      </c>
      <c r="B184" s="19">
        <v>45856</v>
      </c>
      <c r="C184" s="16" t="s">
        <v>314</v>
      </c>
      <c r="D184" s="16" t="s">
        <v>77</v>
      </c>
      <c r="E184" s="16" t="s">
        <v>22</v>
      </c>
      <c r="F184" s="16" t="s">
        <v>30</v>
      </c>
      <c r="G184" s="16">
        <v>1</v>
      </c>
      <c r="H184" s="16">
        <v>157.4</v>
      </c>
      <c r="I184" s="16">
        <v>0.1</v>
      </c>
      <c r="J184" s="16">
        <v>141.66</v>
      </c>
      <c r="K184" s="16">
        <v>110.68</v>
      </c>
      <c r="L184" s="16">
        <v>30.98</v>
      </c>
      <c r="M184" s="16" t="s">
        <v>18</v>
      </c>
      <c r="N184" s="16" t="s">
        <v>727</v>
      </c>
      <c r="O184" s="17" t="s">
        <v>727</v>
      </c>
      <c r="P184" s="35">
        <f t="shared" si="5"/>
        <v>45856</v>
      </c>
      <c r="Q184" s="16" t="str">
        <f t="shared" si="6"/>
        <v>2025-07</v>
      </c>
      <c r="R184" s="50"/>
    </row>
    <row r="185" spans="1:18">
      <c r="A185" s="20" t="s">
        <v>354</v>
      </c>
      <c r="B185" s="10">
        <v>45981</v>
      </c>
      <c r="C185" s="11" t="s">
        <v>355</v>
      </c>
      <c r="D185" s="11" t="s">
        <v>70</v>
      </c>
      <c r="E185" s="11" t="s">
        <v>35</v>
      </c>
      <c r="F185" s="11" t="s">
        <v>30</v>
      </c>
      <c r="G185" s="11">
        <v>1</v>
      </c>
      <c r="H185" s="11">
        <v>157.77000000000001</v>
      </c>
      <c r="I185" s="11">
        <v>0.1</v>
      </c>
      <c r="J185" s="11">
        <v>141.99</v>
      </c>
      <c r="K185" s="11">
        <v>102.25</v>
      </c>
      <c r="L185" s="11">
        <v>39.74</v>
      </c>
      <c r="M185" s="11" t="s">
        <v>18</v>
      </c>
      <c r="N185" s="11" t="s">
        <v>727</v>
      </c>
      <c r="O185" s="18" t="s">
        <v>727</v>
      </c>
      <c r="P185" s="35">
        <f t="shared" si="5"/>
        <v>45981</v>
      </c>
      <c r="Q185" s="16" t="str">
        <f t="shared" si="6"/>
        <v>2025-11</v>
      </c>
      <c r="R185" s="50"/>
    </row>
    <row r="186" spans="1:18">
      <c r="A186" s="21" t="s">
        <v>490</v>
      </c>
      <c r="B186" s="19">
        <v>45867</v>
      </c>
      <c r="C186" s="16" t="s">
        <v>180</v>
      </c>
      <c r="D186" s="16" t="s">
        <v>61</v>
      </c>
      <c r="E186" s="16" t="s">
        <v>42</v>
      </c>
      <c r="F186" s="16" t="s">
        <v>30</v>
      </c>
      <c r="G186" s="16">
        <v>2</v>
      </c>
      <c r="H186" s="16">
        <v>89.34</v>
      </c>
      <c r="I186" s="16">
        <v>0.2</v>
      </c>
      <c r="J186" s="16">
        <v>142.94</v>
      </c>
      <c r="K186" s="16">
        <v>90.15</v>
      </c>
      <c r="L186" s="16">
        <v>52.79</v>
      </c>
      <c r="M186" s="16" t="s">
        <v>18</v>
      </c>
      <c r="N186" s="16" t="s">
        <v>727</v>
      </c>
      <c r="O186" s="17" t="s">
        <v>727</v>
      </c>
      <c r="P186" s="35">
        <f t="shared" si="5"/>
        <v>45867</v>
      </c>
      <c r="Q186" s="16" t="str">
        <f t="shared" si="6"/>
        <v>2025-07</v>
      </c>
      <c r="R186" s="50"/>
    </row>
    <row r="187" spans="1:18">
      <c r="A187" s="20" t="s">
        <v>686</v>
      </c>
      <c r="B187" s="10">
        <v>45733</v>
      </c>
      <c r="C187" s="11" t="s">
        <v>280</v>
      </c>
      <c r="D187" s="11" t="s">
        <v>110</v>
      </c>
      <c r="E187" s="11" t="s">
        <v>35</v>
      </c>
      <c r="F187" s="11" t="s">
        <v>17</v>
      </c>
      <c r="G187" s="11">
        <v>1</v>
      </c>
      <c r="H187" s="11">
        <v>143.13</v>
      </c>
      <c r="I187" s="11">
        <v>0</v>
      </c>
      <c r="J187" s="11">
        <v>143.13</v>
      </c>
      <c r="K187" s="11">
        <v>119.04</v>
      </c>
      <c r="L187" s="11">
        <v>24.09</v>
      </c>
      <c r="M187" s="11" t="s">
        <v>18</v>
      </c>
      <c r="N187" s="11" t="s">
        <v>727</v>
      </c>
      <c r="O187" s="18" t="s">
        <v>727</v>
      </c>
      <c r="P187" s="35">
        <f t="shared" si="5"/>
        <v>45733</v>
      </c>
      <c r="Q187" s="16" t="str">
        <f t="shared" si="6"/>
        <v>2025-03</v>
      </c>
      <c r="R187" s="50"/>
    </row>
    <row r="188" spans="1:18">
      <c r="A188" s="21" t="s">
        <v>574</v>
      </c>
      <c r="B188" s="19">
        <v>45739</v>
      </c>
      <c r="C188" s="16" t="s">
        <v>575</v>
      </c>
      <c r="D188" s="16" t="s">
        <v>41</v>
      </c>
      <c r="E188" s="16" t="s">
        <v>42</v>
      </c>
      <c r="F188" s="16" t="s">
        <v>30</v>
      </c>
      <c r="G188" s="16">
        <v>1</v>
      </c>
      <c r="H188" s="16">
        <v>143.46</v>
      </c>
      <c r="I188" s="16">
        <v>0</v>
      </c>
      <c r="J188" s="16">
        <v>143.46</v>
      </c>
      <c r="K188" s="16">
        <v>103.18</v>
      </c>
      <c r="L188" s="16">
        <v>40.28</v>
      </c>
      <c r="M188" s="16" t="s">
        <v>18</v>
      </c>
      <c r="N188" s="16" t="s">
        <v>727</v>
      </c>
      <c r="O188" s="17" t="s">
        <v>727</v>
      </c>
      <c r="P188" s="35">
        <f t="shared" si="5"/>
        <v>45739</v>
      </c>
      <c r="Q188" s="16" t="str">
        <f t="shared" si="6"/>
        <v>2025-03</v>
      </c>
      <c r="R188" s="50"/>
    </row>
    <row r="189" spans="1:18">
      <c r="A189" s="20" t="s">
        <v>123</v>
      </c>
      <c r="B189" s="10">
        <v>45942</v>
      </c>
      <c r="C189" s="11" t="s">
        <v>122</v>
      </c>
      <c r="D189" s="11" t="s">
        <v>34</v>
      </c>
      <c r="E189" s="11" t="s">
        <v>35</v>
      </c>
      <c r="F189" s="11" t="s">
        <v>17</v>
      </c>
      <c r="G189" s="11">
        <v>3</v>
      </c>
      <c r="H189" s="11">
        <v>50.61</v>
      </c>
      <c r="I189" s="11">
        <v>0.05</v>
      </c>
      <c r="J189" s="11">
        <v>144.24</v>
      </c>
      <c r="K189" s="11">
        <v>112.13</v>
      </c>
      <c r="L189" s="11">
        <v>32.11</v>
      </c>
      <c r="M189" s="11" t="s">
        <v>18</v>
      </c>
      <c r="N189" s="11" t="s">
        <v>727</v>
      </c>
      <c r="O189" s="18" t="s">
        <v>727</v>
      </c>
      <c r="P189" s="35">
        <f t="shared" si="5"/>
        <v>45942</v>
      </c>
      <c r="Q189" s="16" t="str">
        <f t="shared" si="6"/>
        <v>2025-10</v>
      </c>
      <c r="R189" s="50"/>
    </row>
    <row r="190" spans="1:18">
      <c r="A190" s="21" t="s">
        <v>620</v>
      </c>
      <c r="B190" s="19">
        <v>45915</v>
      </c>
      <c r="C190" s="16" t="s">
        <v>120</v>
      </c>
      <c r="D190" s="16" t="s">
        <v>29</v>
      </c>
      <c r="E190" s="16" t="s">
        <v>22</v>
      </c>
      <c r="F190" s="16" t="s">
        <v>17</v>
      </c>
      <c r="G190" s="16">
        <v>1</v>
      </c>
      <c r="H190" s="16">
        <v>162</v>
      </c>
      <c r="I190" s="16">
        <v>0.1</v>
      </c>
      <c r="J190" s="16">
        <v>145.80000000000001</v>
      </c>
      <c r="K190" s="16">
        <v>114.63</v>
      </c>
      <c r="L190" s="16">
        <v>31.17</v>
      </c>
      <c r="M190" s="16" t="s">
        <v>31</v>
      </c>
      <c r="N190" s="16" t="s">
        <v>727</v>
      </c>
      <c r="O190" s="17" t="s">
        <v>727</v>
      </c>
      <c r="P190" s="35">
        <f t="shared" si="5"/>
        <v>45915</v>
      </c>
      <c r="Q190" s="16" t="str">
        <f t="shared" si="6"/>
        <v>2025-09</v>
      </c>
      <c r="R190" s="50"/>
    </row>
    <row r="191" spans="1:18">
      <c r="A191" s="20" t="s">
        <v>571</v>
      </c>
      <c r="B191" s="10">
        <v>45812</v>
      </c>
      <c r="C191" s="11" t="s">
        <v>67</v>
      </c>
      <c r="D191" s="11" t="s">
        <v>77</v>
      </c>
      <c r="E191" s="11" t="s">
        <v>22</v>
      </c>
      <c r="F191" s="11" t="s">
        <v>30</v>
      </c>
      <c r="G191" s="11">
        <v>4</v>
      </c>
      <c r="H191" s="11">
        <v>38.6</v>
      </c>
      <c r="I191" s="11">
        <v>0.05</v>
      </c>
      <c r="J191" s="11">
        <v>146.68</v>
      </c>
      <c r="K191" s="11">
        <v>116.24</v>
      </c>
      <c r="L191" s="11">
        <v>30.44</v>
      </c>
      <c r="M191" s="11" t="s">
        <v>31</v>
      </c>
      <c r="N191" s="11" t="s">
        <v>727</v>
      </c>
      <c r="O191" s="18" t="s">
        <v>727</v>
      </c>
      <c r="P191" s="35">
        <f t="shared" si="5"/>
        <v>45812</v>
      </c>
      <c r="Q191" s="16" t="str">
        <f t="shared" si="6"/>
        <v>2025-06</v>
      </c>
      <c r="R191" s="50"/>
    </row>
    <row r="192" spans="1:18">
      <c r="A192" s="21" t="s">
        <v>446</v>
      </c>
      <c r="B192" s="19">
        <v>45874</v>
      </c>
      <c r="C192" s="16" t="s">
        <v>432</v>
      </c>
      <c r="D192" s="16" t="s">
        <v>45</v>
      </c>
      <c r="E192" s="16" t="s">
        <v>22</v>
      </c>
      <c r="F192" s="16" t="s">
        <v>23</v>
      </c>
      <c r="G192" s="16">
        <v>3</v>
      </c>
      <c r="H192" s="16">
        <v>55.41</v>
      </c>
      <c r="I192" s="16">
        <v>0.1</v>
      </c>
      <c r="J192" s="16">
        <v>149.61000000000001</v>
      </c>
      <c r="K192" s="16">
        <v>126.04</v>
      </c>
      <c r="L192" s="16">
        <v>23.57</v>
      </c>
      <c r="M192" s="16" t="s">
        <v>18</v>
      </c>
      <c r="N192" s="16" t="s">
        <v>727</v>
      </c>
      <c r="O192" s="17" t="s">
        <v>727</v>
      </c>
      <c r="P192" s="35">
        <f t="shared" si="5"/>
        <v>45874</v>
      </c>
      <c r="Q192" s="16" t="str">
        <f t="shared" si="6"/>
        <v>2025-08</v>
      </c>
      <c r="R192" s="50"/>
    </row>
    <row r="193" spans="1:18">
      <c r="A193" s="20" t="s">
        <v>299</v>
      </c>
      <c r="B193" s="10">
        <v>45815</v>
      </c>
      <c r="C193" s="11" t="s">
        <v>150</v>
      </c>
      <c r="D193" s="11" t="s">
        <v>88</v>
      </c>
      <c r="E193" s="11" t="s">
        <v>16</v>
      </c>
      <c r="F193" s="11" t="s">
        <v>17</v>
      </c>
      <c r="G193" s="11">
        <v>2</v>
      </c>
      <c r="H193" s="11">
        <v>88.06</v>
      </c>
      <c r="I193" s="11">
        <v>0.15</v>
      </c>
      <c r="J193" s="11">
        <v>149.69999999999999</v>
      </c>
      <c r="K193" s="11">
        <v>82.57</v>
      </c>
      <c r="L193" s="11">
        <v>67.13</v>
      </c>
      <c r="M193" s="11" t="s">
        <v>18</v>
      </c>
      <c r="N193" s="11" t="s">
        <v>727</v>
      </c>
      <c r="O193" s="18" t="s">
        <v>727</v>
      </c>
      <c r="P193" s="35">
        <f t="shared" si="5"/>
        <v>45815</v>
      </c>
      <c r="Q193" s="16" t="str">
        <f t="shared" si="6"/>
        <v>2025-06</v>
      </c>
      <c r="R193" s="50"/>
    </row>
    <row r="194" spans="1:18">
      <c r="A194" s="21" t="s">
        <v>523</v>
      </c>
      <c r="B194" s="19">
        <v>45820</v>
      </c>
      <c r="C194" s="16" t="s">
        <v>52</v>
      </c>
      <c r="D194" s="16" t="s">
        <v>53</v>
      </c>
      <c r="E194" s="16" t="s">
        <v>42</v>
      </c>
      <c r="F194" s="16" t="s">
        <v>17</v>
      </c>
      <c r="G194" s="16">
        <v>2</v>
      </c>
      <c r="H194" s="16">
        <v>84.27</v>
      </c>
      <c r="I194" s="16">
        <v>0.1</v>
      </c>
      <c r="J194" s="16">
        <v>151.69</v>
      </c>
      <c r="K194" s="16">
        <v>110.34</v>
      </c>
      <c r="L194" s="16">
        <v>41.35</v>
      </c>
      <c r="M194" s="16" t="s">
        <v>31</v>
      </c>
      <c r="N194" s="16" t="s">
        <v>727</v>
      </c>
      <c r="O194" s="17" t="s">
        <v>727</v>
      </c>
      <c r="P194" s="35">
        <f t="shared" ref="P194:P257" si="7">IF(ISNUMBER(B194),INT(B194),"")</f>
        <v>45820</v>
      </c>
      <c r="Q194" s="16" t="str">
        <f t="shared" ref="Q194:Q257" si="8">IF(ISNUMBER(B194),TEXT(B194,"yyyy-mm"),"Invalid/Missing")</f>
        <v>2025-06</v>
      </c>
      <c r="R194" s="50"/>
    </row>
    <row r="195" spans="1:18">
      <c r="A195" s="20" t="s">
        <v>195</v>
      </c>
      <c r="B195" s="10">
        <v>45802</v>
      </c>
      <c r="C195" s="11" t="s">
        <v>196</v>
      </c>
      <c r="D195" s="11" t="s">
        <v>77</v>
      </c>
      <c r="E195" s="11" t="s">
        <v>22</v>
      </c>
      <c r="F195" s="11" t="s">
        <v>23</v>
      </c>
      <c r="G195" s="11">
        <v>1</v>
      </c>
      <c r="H195" s="11">
        <v>152.6</v>
      </c>
      <c r="I195" s="11">
        <v>0</v>
      </c>
      <c r="J195" s="11">
        <v>152.6</v>
      </c>
      <c r="K195" s="11">
        <v>108.44</v>
      </c>
      <c r="L195" s="11">
        <v>44.16</v>
      </c>
      <c r="M195" s="11" t="s">
        <v>18</v>
      </c>
      <c r="N195" s="11" t="s">
        <v>727</v>
      </c>
      <c r="O195" s="18" t="s">
        <v>727</v>
      </c>
      <c r="P195" s="35">
        <f t="shared" si="7"/>
        <v>45802</v>
      </c>
      <c r="Q195" s="16" t="str">
        <f t="shared" si="8"/>
        <v>2025-05</v>
      </c>
      <c r="R195" s="50"/>
    </row>
    <row r="196" spans="1:18">
      <c r="A196" s="21" t="s">
        <v>409</v>
      </c>
      <c r="B196" s="19">
        <v>45941</v>
      </c>
      <c r="C196" s="16" t="s">
        <v>172</v>
      </c>
      <c r="D196" s="16" t="s">
        <v>21</v>
      </c>
      <c r="E196" s="16" t="s">
        <v>22</v>
      </c>
      <c r="F196" s="16" t="s">
        <v>23</v>
      </c>
      <c r="G196" s="16">
        <v>1</v>
      </c>
      <c r="H196" s="16">
        <v>152.63</v>
      </c>
      <c r="I196" s="16">
        <v>0</v>
      </c>
      <c r="J196" s="16">
        <v>152.63</v>
      </c>
      <c r="K196" s="16">
        <v>125.24</v>
      </c>
      <c r="L196" s="16">
        <v>27.39</v>
      </c>
      <c r="M196" s="16" t="s">
        <v>31</v>
      </c>
      <c r="N196" s="16" t="s">
        <v>727</v>
      </c>
      <c r="O196" s="17" t="s">
        <v>727</v>
      </c>
      <c r="P196" s="35">
        <f t="shared" si="7"/>
        <v>45941</v>
      </c>
      <c r="Q196" s="16" t="str">
        <f t="shared" si="8"/>
        <v>2025-10</v>
      </c>
      <c r="R196" s="50"/>
    </row>
    <row r="197" spans="1:18">
      <c r="A197" s="20" t="s">
        <v>124</v>
      </c>
      <c r="B197" s="10">
        <v>45696</v>
      </c>
      <c r="C197" s="11" t="s">
        <v>125</v>
      </c>
      <c r="D197" s="11" t="s">
        <v>110</v>
      </c>
      <c r="E197" s="11" t="s">
        <v>35</v>
      </c>
      <c r="F197" s="11" t="s">
        <v>30</v>
      </c>
      <c r="G197" s="11">
        <v>4</v>
      </c>
      <c r="H197" s="11">
        <v>38.159999999999997</v>
      </c>
      <c r="I197" s="11">
        <v>0</v>
      </c>
      <c r="J197" s="11">
        <v>152.63999999999999</v>
      </c>
      <c r="K197" s="11">
        <v>118.91</v>
      </c>
      <c r="L197" s="11">
        <v>33.729999999999997</v>
      </c>
      <c r="M197" s="11" t="s">
        <v>31</v>
      </c>
      <c r="N197" s="11" t="s">
        <v>727</v>
      </c>
      <c r="O197" s="18" t="s">
        <v>727</v>
      </c>
      <c r="P197" s="35">
        <f t="shared" si="7"/>
        <v>45696</v>
      </c>
      <c r="Q197" s="16" t="str">
        <f t="shared" si="8"/>
        <v>2025-02</v>
      </c>
      <c r="R197" s="50"/>
    </row>
    <row r="198" spans="1:18">
      <c r="A198" s="21" t="s">
        <v>231</v>
      </c>
      <c r="B198" s="19">
        <v>46021</v>
      </c>
      <c r="C198" s="16" t="s">
        <v>232</v>
      </c>
      <c r="D198" s="16" t="s">
        <v>41</v>
      </c>
      <c r="E198" s="16" t="s">
        <v>42</v>
      </c>
      <c r="F198" s="16" t="s">
        <v>36</v>
      </c>
      <c r="G198" s="16">
        <v>2</v>
      </c>
      <c r="H198" s="16">
        <v>90.7</v>
      </c>
      <c r="I198" s="16">
        <v>0.15</v>
      </c>
      <c r="J198" s="16">
        <v>154.19</v>
      </c>
      <c r="K198" s="16">
        <v>111.96</v>
      </c>
      <c r="L198" s="16">
        <v>42.23</v>
      </c>
      <c r="M198" s="16" t="s">
        <v>18</v>
      </c>
      <c r="N198" s="16" t="s">
        <v>727</v>
      </c>
      <c r="O198" s="17" t="s">
        <v>727</v>
      </c>
      <c r="P198" s="35">
        <f t="shared" si="7"/>
        <v>46021</v>
      </c>
      <c r="Q198" s="16" t="str">
        <f t="shared" si="8"/>
        <v>2025-12</v>
      </c>
      <c r="R198" s="50"/>
    </row>
    <row r="199" spans="1:18">
      <c r="A199" s="20" t="s">
        <v>306</v>
      </c>
      <c r="B199" s="10">
        <v>45942</v>
      </c>
      <c r="C199" s="11" t="s">
        <v>307</v>
      </c>
      <c r="D199" s="11" t="s">
        <v>15</v>
      </c>
      <c r="E199" s="11" t="s">
        <v>16</v>
      </c>
      <c r="F199" s="11" t="s">
        <v>30</v>
      </c>
      <c r="G199" s="11">
        <v>3</v>
      </c>
      <c r="H199" s="11">
        <v>51.43</v>
      </c>
      <c r="I199" s="11">
        <v>0</v>
      </c>
      <c r="J199" s="11">
        <v>154.29</v>
      </c>
      <c r="K199" s="11">
        <v>92.22</v>
      </c>
      <c r="L199" s="11">
        <v>62.07</v>
      </c>
      <c r="M199" s="11" t="s">
        <v>18</v>
      </c>
      <c r="N199" s="11" t="s">
        <v>727</v>
      </c>
      <c r="O199" s="18" t="s">
        <v>727</v>
      </c>
      <c r="P199" s="35">
        <f t="shared" si="7"/>
        <v>45942</v>
      </c>
      <c r="Q199" s="16" t="str">
        <f t="shared" si="8"/>
        <v>2025-10</v>
      </c>
      <c r="R199" s="50"/>
    </row>
    <row r="200" spans="1:18">
      <c r="A200" s="21" t="s">
        <v>283</v>
      </c>
      <c r="B200" s="19">
        <v>45855</v>
      </c>
      <c r="C200" s="16" t="s">
        <v>150</v>
      </c>
      <c r="D200" s="16" t="s">
        <v>48</v>
      </c>
      <c r="E200" s="16" t="s">
        <v>35</v>
      </c>
      <c r="F200" s="16" t="s">
        <v>23</v>
      </c>
      <c r="G200" s="16">
        <v>4</v>
      </c>
      <c r="H200" s="16">
        <v>45.54</v>
      </c>
      <c r="I200" s="16">
        <v>0.15</v>
      </c>
      <c r="J200" s="16">
        <v>154.84</v>
      </c>
      <c r="K200" s="16">
        <v>121.69</v>
      </c>
      <c r="L200" s="16">
        <v>33.15</v>
      </c>
      <c r="M200" s="16" t="s">
        <v>18</v>
      </c>
      <c r="N200" s="16" t="s">
        <v>727</v>
      </c>
      <c r="O200" s="17" t="s">
        <v>727</v>
      </c>
      <c r="P200" s="35">
        <f t="shared" si="7"/>
        <v>45855</v>
      </c>
      <c r="Q200" s="16" t="str">
        <f t="shared" si="8"/>
        <v>2025-07</v>
      </c>
      <c r="R200" s="50"/>
    </row>
    <row r="201" spans="1:18">
      <c r="A201" s="20" t="s">
        <v>412</v>
      </c>
      <c r="B201" s="10">
        <v>45796</v>
      </c>
      <c r="C201" s="11" t="s">
        <v>191</v>
      </c>
      <c r="D201" s="11" t="s">
        <v>15</v>
      </c>
      <c r="E201" s="11" t="s">
        <v>16</v>
      </c>
      <c r="F201" s="11" t="s">
        <v>17</v>
      </c>
      <c r="G201" s="11">
        <v>1</v>
      </c>
      <c r="H201" s="11">
        <v>172.52</v>
      </c>
      <c r="I201" s="11">
        <v>0.1</v>
      </c>
      <c r="J201" s="11">
        <v>155.27000000000001</v>
      </c>
      <c r="K201" s="11">
        <v>101.85</v>
      </c>
      <c r="L201" s="11">
        <v>53.42</v>
      </c>
      <c r="M201" s="11" t="s">
        <v>24</v>
      </c>
      <c r="N201" s="11" t="s">
        <v>727</v>
      </c>
      <c r="O201" s="18" t="s">
        <v>727</v>
      </c>
      <c r="P201" s="35">
        <f t="shared" si="7"/>
        <v>45796</v>
      </c>
      <c r="Q201" s="16" t="str">
        <f t="shared" si="8"/>
        <v>2025-05</v>
      </c>
      <c r="R201" s="50"/>
    </row>
    <row r="202" spans="1:18">
      <c r="A202" s="21" t="s">
        <v>317</v>
      </c>
      <c r="B202" s="19">
        <v>45752</v>
      </c>
      <c r="C202" s="16" t="s">
        <v>147</v>
      </c>
      <c r="D202" s="16" t="s">
        <v>45</v>
      </c>
      <c r="E202" s="16" t="s">
        <v>22</v>
      </c>
      <c r="F202" s="16" t="s">
        <v>23</v>
      </c>
      <c r="G202" s="16">
        <v>5</v>
      </c>
      <c r="H202" s="16">
        <v>33.729999999999997</v>
      </c>
      <c r="I202" s="16">
        <v>0.05</v>
      </c>
      <c r="J202" s="16">
        <v>160.22</v>
      </c>
      <c r="K202" s="16">
        <v>120.83</v>
      </c>
      <c r="L202" s="16">
        <v>39.39</v>
      </c>
      <c r="M202" s="16" t="s">
        <v>18</v>
      </c>
      <c r="N202" s="16" t="s">
        <v>727</v>
      </c>
      <c r="O202" s="17" t="s">
        <v>727</v>
      </c>
      <c r="P202" s="35">
        <f t="shared" si="7"/>
        <v>45752</v>
      </c>
      <c r="Q202" s="16" t="str">
        <f t="shared" si="8"/>
        <v>2025-04</v>
      </c>
      <c r="R202" s="50"/>
    </row>
    <row r="203" spans="1:18">
      <c r="A203" s="20" t="s">
        <v>272</v>
      </c>
      <c r="B203" s="10">
        <v>45765</v>
      </c>
      <c r="C203" s="11" t="s">
        <v>273</v>
      </c>
      <c r="D203" s="11" t="s">
        <v>61</v>
      </c>
      <c r="E203" s="11" t="s">
        <v>42</v>
      </c>
      <c r="F203" s="11" t="s">
        <v>36</v>
      </c>
      <c r="G203" s="11">
        <v>3</v>
      </c>
      <c r="H203" s="11">
        <v>62.89</v>
      </c>
      <c r="I203" s="11">
        <v>0.15</v>
      </c>
      <c r="J203" s="11">
        <v>160.37</v>
      </c>
      <c r="K203" s="11">
        <v>89.98</v>
      </c>
      <c r="L203" s="11">
        <v>70.39</v>
      </c>
      <c r="M203" s="11" t="s">
        <v>18</v>
      </c>
      <c r="N203" s="11" t="s">
        <v>727</v>
      </c>
      <c r="O203" s="18" t="s">
        <v>727</v>
      </c>
      <c r="P203" s="35">
        <f t="shared" si="7"/>
        <v>45765</v>
      </c>
      <c r="Q203" s="16" t="str">
        <f t="shared" si="8"/>
        <v>2025-04</v>
      </c>
      <c r="R203" s="50"/>
    </row>
    <row r="204" spans="1:18">
      <c r="A204" s="21" t="s">
        <v>639</v>
      </c>
      <c r="B204" s="19">
        <v>45928</v>
      </c>
      <c r="C204" s="16" t="s">
        <v>314</v>
      </c>
      <c r="D204" s="16" t="s">
        <v>15</v>
      </c>
      <c r="E204" s="16" t="s">
        <v>16</v>
      </c>
      <c r="F204" s="16" t="s">
        <v>17</v>
      </c>
      <c r="G204" s="16">
        <v>3</v>
      </c>
      <c r="H204" s="16">
        <v>57.11</v>
      </c>
      <c r="I204" s="16">
        <v>0.05</v>
      </c>
      <c r="J204" s="16">
        <v>162.76</v>
      </c>
      <c r="K204" s="16">
        <v>114.45</v>
      </c>
      <c r="L204" s="16">
        <v>48.31</v>
      </c>
      <c r="M204" s="16" t="s">
        <v>18</v>
      </c>
      <c r="N204" s="16" t="s">
        <v>727</v>
      </c>
      <c r="O204" s="17" t="s">
        <v>727</v>
      </c>
      <c r="P204" s="35">
        <f t="shared" si="7"/>
        <v>45928</v>
      </c>
      <c r="Q204" s="16" t="str">
        <f t="shared" si="8"/>
        <v>2025-09</v>
      </c>
      <c r="R204" s="50"/>
    </row>
    <row r="205" spans="1:18">
      <c r="A205" s="20" t="s">
        <v>578</v>
      </c>
      <c r="B205" s="10">
        <v>45697</v>
      </c>
      <c r="C205" s="11" t="s">
        <v>579</v>
      </c>
      <c r="D205" s="11" t="s">
        <v>88</v>
      </c>
      <c r="E205" s="11" t="s">
        <v>16</v>
      </c>
      <c r="F205" s="11" t="s">
        <v>30</v>
      </c>
      <c r="G205" s="11">
        <v>3</v>
      </c>
      <c r="H205" s="11">
        <v>64.13</v>
      </c>
      <c r="I205" s="11">
        <v>0.15</v>
      </c>
      <c r="J205" s="11">
        <v>163.53</v>
      </c>
      <c r="K205" s="11">
        <v>97</v>
      </c>
      <c r="L205" s="11">
        <v>66.53</v>
      </c>
      <c r="M205" s="11" t="s">
        <v>18</v>
      </c>
      <c r="N205" s="11" t="s">
        <v>727</v>
      </c>
      <c r="O205" s="18" t="s">
        <v>727</v>
      </c>
      <c r="P205" s="35">
        <f t="shared" si="7"/>
        <v>45697</v>
      </c>
      <c r="Q205" s="16" t="str">
        <f t="shared" si="8"/>
        <v>2025-02</v>
      </c>
      <c r="R205" s="50"/>
    </row>
    <row r="206" spans="1:18">
      <c r="A206" s="21" t="s">
        <v>207</v>
      </c>
      <c r="B206" s="19">
        <v>45670</v>
      </c>
      <c r="C206" s="16" t="s">
        <v>208</v>
      </c>
      <c r="D206" s="16" t="s">
        <v>88</v>
      </c>
      <c r="E206" s="16" t="s">
        <v>16</v>
      </c>
      <c r="F206" s="16" t="s">
        <v>36</v>
      </c>
      <c r="G206" s="16">
        <v>2</v>
      </c>
      <c r="H206" s="16">
        <v>86.13</v>
      </c>
      <c r="I206" s="16">
        <v>0.05</v>
      </c>
      <c r="J206" s="16">
        <v>163.65</v>
      </c>
      <c r="K206" s="16">
        <v>116.96</v>
      </c>
      <c r="L206" s="16">
        <v>46.69</v>
      </c>
      <c r="M206" s="16" t="s">
        <v>18</v>
      </c>
      <c r="N206" s="16" t="s">
        <v>727</v>
      </c>
      <c r="O206" s="17" t="s">
        <v>727</v>
      </c>
      <c r="P206" s="35">
        <f t="shared" si="7"/>
        <v>45670</v>
      </c>
      <c r="Q206" s="16" t="str">
        <f t="shared" si="8"/>
        <v>2025-01</v>
      </c>
      <c r="R206" s="50"/>
    </row>
    <row r="207" spans="1:18">
      <c r="A207" s="20" t="s">
        <v>553</v>
      </c>
      <c r="B207" s="10">
        <v>45885</v>
      </c>
      <c r="C207" s="11" t="s">
        <v>289</v>
      </c>
      <c r="D207" s="11" t="s">
        <v>56</v>
      </c>
      <c r="E207" s="11" t="s">
        <v>16</v>
      </c>
      <c r="F207" s="11" t="s">
        <v>23</v>
      </c>
      <c r="G207" s="11">
        <v>1</v>
      </c>
      <c r="H207" s="11">
        <v>163.84</v>
      </c>
      <c r="I207" s="11">
        <v>0</v>
      </c>
      <c r="J207" s="11">
        <v>163.84</v>
      </c>
      <c r="K207" s="11">
        <v>125.74</v>
      </c>
      <c r="L207" s="11">
        <v>38.1</v>
      </c>
      <c r="M207" s="11" t="s">
        <v>18</v>
      </c>
      <c r="N207" s="11" t="s">
        <v>727</v>
      </c>
      <c r="O207" s="18" t="s">
        <v>727</v>
      </c>
      <c r="P207" s="35">
        <f t="shared" si="7"/>
        <v>45885</v>
      </c>
      <c r="Q207" s="16" t="str">
        <f t="shared" si="8"/>
        <v>2025-08</v>
      </c>
      <c r="R207" s="50"/>
    </row>
    <row r="208" spans="1:18">
      <c r="A208" s="21" t="s">
        <v>431</v>
      </c>
      <c r="B208" s="19">
        <v>45880</v>
      </c>
      <c r="C208" s="16" t="s">
        <v>432</v>
      </c>
      <c r="D208" s="16" t="s">
        <v>41</v>
      </c>
      <c r="E208" s="16" t="s">
        <v>42</v>
      </c>
      <c r="F208" s="16" t="s">
        <v>23</v>
      </c>
      <c r="G208" s="16">
        <v>1</v>
      </c>
      <c r="H208" s="16">
        <v>172.79</v>
      </c>
      <c r="I208" s="16">
        <v>0.05</v>
      </c>
      <c r="J208" s="16">
        <v>164.15</v>
      </c>
      <c r="K208" s="16">
        <v>106.38</v>
      </c>
      <c r="L208" s="16">
        <v>57.77</v>
      </c>
      <c r="M208" s="16" t="s">
        <v>18</v>
      </c>
      <c r="N208" s="16" t="s">
        <v>727</v>
      </c>
      <c r="O208" s="17" t="s">
        <v>727</v>
      </c>
      <c r="P208" s="35">
        <f t="shared" si="7"/>
        <v>45880</v>
      </c>
      <c r="Q208" s="16" t="str">
        <f t="shared" si="8"/>
        <v>2025-08</v>
      </c>
      <c r="R208" s="50"/>
    </row>
    <row r="209" spans="1:18">
      <c r="A209" s="20" t="s">
        <v>674</v>
      </c>
      <c r="B209" s="10">
        <v>45767</v>
      </c>
      <c r="C209" s="11" t="s">
        <v>377</v>
      </c>
      <c r="D209" s="11" t="s">
        <v>110</v>
      </c>
      <c r="E209" s="11" t="s">
        <v>35</v>
      </c>
      <c r="F209" s="11" t="s">
        <v>30</v>
      </c>
      <c r="G209" s="11">
        <v>1</v>
      </c>
      <c r="H209" s="11">
        <v>174.45</v>
      </c>
      <c r="I209" s="11">
        <v>0.05</v>
      </c>
      <c r="J209" s="11">
        <v>165.73</v>
      </c>
      <c r="K209" s="11">
        <v>104.99</v>
      </c>
      <c r="L209" s="11">
        <v>60.74</v>
      </c>
      <c r="M209" s="11" t="s">
        <v>18</v>
      </c>
      <c r="N209" s="11" t="s">
        <v>727</v>
      </c>
      <c r="O209" s="18" t="s">
        <v>727</v>
      </c>
      <c r="P209" s="35">
        <f t="shared" si="7"/>
        <v>45767</v>
      </c>
      <c r="Q209" s="16" t="str">
        <f t="shared" si="8"/>
        <v>2025-04</v>
      </c>
      <c r="R209" s="50"/>
    </row>
    <row r="210" spans="1:18">
      <c r="A210" s="21" t="s">
        <v>549</v>
      </c>
      <c r="B210" s="19">
        <v>46013</v>
      </c>
      <c r="C210" s="16" t="s">
        <v>367</v>
      </c>
      <c r="D210" s="16" t="s">
        <v>77</v>
      </c>
      <c r="E210" s="16" t="s">
        <v>22</v>
      </c>
      <c r="F210" s="16" t="s">
        <v>23</v>
      </c>
      <c r="G210" s="16">
        <v>3</v>
      </c>
      <c r="H210" s="16">
        <v>62.29</v>
      </c>
      <c r="I210" s="16">
        <v>0.1</v>
      </c>
      <c r="J210" s="16">
        <v>168.18</v>
      </c>
      <c r="K210" s="16">
        <v>112.43</v>
      </c>
      <c r="L210" s="16">
        <v>55.75</v>
      </c>
      <c r="M210" s="16" t="s">
        <v>18</v>
      </c>
      <c r="N210" s="16" t="s">
        <v>727</v>
      </c>
      <c r="O210" s="17" t="s">
        <v>727</v>
      </c>
      <c r="P210" s="35">
        <f t="shared" si="7"/>
        <v>46013</v>
      </c>
      <c r="Q210" s="16" t="str">
        <f t="shared" si="8"/>
        <v>2025-12</v>
      </c>
      <c r="R210" s="50"/>
    </row>
    <row r="211" spans="1:18">
      <c r="A211" s="20" t="s">
        <v>86</v>
      </c>
      <c r="B211" s="10">
        <v>45694</v>
      </c>
      <c r="C211" s="11" t="s">
        <v>76</v>
      </c>
      <c r="D211" s="11" t="s">
        <v>48</v>
      </c>
      <c r="E211" s="11" t="s">
        <v>35</v>
      </c>
      <c r="F211" s="11" t="s">
        <v>17</v>
      </c>
      <c r="G211" s="11">
        <v>4</v>
      </c>
      <c r="H211" s="11">
        <v>52.86</v>
      </c>
      <c r="I211" s="11">
        <v>0.2</v>
      </c>
      <c r="J211" s="11">
        <v>169.15</v>
      </c>
      <c r="K211" s="11">
        <v>142.02000000000001</v>
      </c>
      <c r="L211" s="11">
        <v>27.13</v>
      </c>
      <c r="M211" s="11" t="s">
        <v>31</v>
      </c>
      <c r="N211" s="11" t="s">
        <v>727</v>
      </c>
      <c r="O211" s="18" t="s">
        <v>727</v>
      </c>
      <c r="P211" s="35">
        <f t="shared" si="7"/>
        <v>45694</v>
      </c>
      <c r="Q211" s="16" t="str">
        <f t="shared" si="8"/>
        <v>2025-02</v>
      </c>
      <c r="R211" s="50"/>
    </row>
    <row r="212" spans="1:18">
      <c r="A212" s="21" t="s">
        <v>269</v>
      </c>
      <c r="B212" s="19">
        <v>45939</v>
      </c>
      <c r="C212" s="16" t="s">
        <v>63</v>
      </c>
      <c r="D212" s="16" t="s">
        <v>56</v>
      </c>
      <c r="E212" s="16" t="s">
        <v>16</v>
      </c>
      <c r="F212" s="16" t="s">
        <v>36</v>
      </c>
      <c r="G212" s="16">
        <v>1</v>
      </c>
      <c r="H212" s="16">
        <v>170.38</v>
      </c>
      <c r="I212" s="16">
        <v>0</v>
      </c>
      <c r="J212" s="16">
        <v>170.38</v>
      </c>
      <c r="K212" s="16">
        <v>129.77000000000001</v>
      </c>
      <c r="L212" s="16">
        <v>40.61</v>
      </c>
      <c r="M212" s="16" t="s">
        <v>18</v>
      </c>
      <c r="N212" s="16" t="s">
        <v>727</v>
      </c>
      <c r="O212" s="17" t="s">
        <v>727</v>
      </c>
      <c r="P212" s="35">
        <f t="shared" si="7"/>
        <v>45939</v>
      </c>
      <c r="Q212" s="16" t="str">
        <f t="shared" si="8"/>
        <v>2025-10</v>
      </c>
      <c r="R212" s="50"/>
    </row>
    <row r="213" spans="1:18">
      <c r="A213" s="20" t="s">
        <v>687</v>
      </c>
      <c r="B213" s="10">
        <v>45907</v>
      </c>
      <c r="C213" s="11" t="s">
        <v>65</v>
      </c>
      <c r="D213" s="11" t="s">
        <v>88</v>
      </c>
      <c r="E213" s="11" t="s">
        <v>16</v>
      </c>
      <c r="F213" s="11" t="s">
        <v>17</v>
      </c>
      <c r="G213" s="11">
        <v>5</v>
      </c>
      <c r="H213" s="11">
        <v>38.119999999999997</v>
      </c>
      <c r="I213" s="11">
        <v>0.1</v>
      </c>
      <c r="J213" s="11">
        <v>171.54</v>
      </c>
      <c r="K213" s="11">
        <v>105.69</v>
      </c>
      <c r="L213" s="11">
        <v>65.849999999999994</v>
      </c>
      <c r="M213" s="11" t="s">
        <v>31</v>
      </c>
      <c r="N213" s="11" t="s">
        <v>727</v>
      </c>
      <c r="O213" s="18" t="s">
        <v>727</v>
      </c>
      <c r="P213" s="35">
        <f t="shared" si="7"/>
        <v>45907</v>
      </c>
      <c r="Q213" s="16" t="str">
        <f t="shared" si="8"/>
        <v>2025-09</v>
      </c>
      <c r="R213" s="50"/>
    </row>
    <row r="214" spans="1:18">
      <c r="A214" s="21" t="s">
        <v>216</v>
      </c>
      <c r="B214" s="19">
        <v>45855</v>
      </c>
      <c r="C214" s="16" t="s">
        <v>154</v>
      </c>
      <c r="D214" s="16" t="s">
        <v>139</v>
      </c>
      <c r="E214" s="16" t="s">
        <v>16</v>
      </c>
      <c r="F214" s="16" t="s">
        <v>17</v>
      </c>
      <c r="G214" s="16">
        <v>2</v>
      </c>
      <c r="H214" s="16">
        <v>101.49</v>
      </c>
      <c r="I214" s="16">
        <v>0.15</v>
      </c>
      <c r="J214" s="16">
        <v>172.53</v>
      </c>
      <c r="K214" s="16">
        <v>127.2</v>
      </c>
      <c r="L214" s="16">
        <v>45.33</v>
      </c>
      <c r="M214" s="16" t="s">
        <v>18</v>
      </c>
      <c r="N214" s="16" t="s">
        <v>727</v>
      </c>
      <c r="O214" s="17" t="s">
        <v>727</v>
      </c>
      <c r="P214" s="35">
        <f t="shared" si="7"/>
        <v>45855</v>
      </c>
      <c r="Q214" s="16" t="str">
        <f t="shared" si="8"/>
        <v>2025-07</v>
      </c>
      <c r="R214" s="50"/>
    </row>
    <row r="215" spans="1:18">
      <c r="A215" s="20" t="s">
        <v>692</v>
      </c>
      <c r="B215" s="10">
        <v>45878</v>
      </c>
      <c r="C215" s="11" t="s">
        <v>329</v>
      </c>
      <c r="D215" s="11" t="s">
        <v>41</v>
      </c>
      <c r="E215" s="11" t="s">
        <v>42</v>
      </c>
      <c r="F215" s="11" t="s">
        <v>36</v>
      </c>
      <c r="G215" s="11">
        <v>2</v>
      </c>
      <c r="H215" s="11">
        <v>96.22</v>
      </c>
      <c r="I215" s="11">
        <v>0.1</v>
      </c>
      <c r="J215" s="11">
        <v>173.2</v>
      </c>
      <c r="K215" s="11">
        <v>143.85</v>
      </c>
      <c r="L215" s="11">
        <v>29.35</v>
      </c>
      <c r="M215" s="11" t="s">
        <v>18</v>
      </c>
      <c r="N215" s="11" t="s">
        <v>727</v>
      </c>
      <c r="O215" s="18" t="s">
        <v>727</v>
      </c>
      <c r="P215" s="35">
        <f t="shared" si="7"/>
        <v>45878</v>
      </c>
      <c r="Q215" s="16" t="str">
        <f t="shared" si="8"/>
        <v>2025-08</v>
      </c>
      <c r="R215" s="50"/>
    </row>
    <row r="216" spans="1:18">
      <c r="A216" s="21" t="s">
        <v>291</v>
      </c>
      <c r="B216" s="19">
        <v>45980</v>
      </c>
      <c r="C216" s="16" t="s">
        <v>50</v>
      </c>
      <c r="D216" s="16" t="s">
        <v>34</v>
      </c>
      <c r="E216" s="16" t="s">
        <v>35</v>
      </c>
      <c r="F216" s="16" t="s">
        <v>23</v>
      </c>
      <c r="G216" s="16">
        <v>1</v>
      </c>
      <c r="H216" s="16">
        <v>109.99</v>
      </c>
      <c r="I216" s="16">
        <v>0.1</v>
      </c>
      <c r="J216" s="16">
        <v>173.99</v>
      </c>
      <c r="K216" s="16">
        <v>57.16</v>
      </c>
      <c r="L216" s="16">
        <v>41.83</v>
      </c>
      <c r="M216" s="16" t="s">
        <v>18</v>
      </c>
      <c r="N216" s="16" t="s">
        <v>728</v>
      </c>
      <c r="O216" s="17" t="s">
        <v>728</v>
      </c>
      <c r="P216" s="35">
        <f t="shared" si="7"/>
        <v>45980</v>
      </c>
      <c r="Q216" s="16" t="str">
        <f t="shared" si="8"/>
        <v>2025-11</v>
      </c>
      <c r="R216" s="50"/>
    </row>
    <row r="217" spans="1:18">
      <c r="A217" s="20" t="s">
        <v>522</v>
      </c>
      <c r="B217" s="10">
        <v>45860</v>
      </c>
      <c r="C217" s="11" t="s">
        <v>232</v>
      </c>
      <c r="D217" s="11" t="s">
        <v>53</v>
      </c>
      <c r="E217" s="11" t="s">
        <v>42</v>
      </c>
      <c r="F217" s="11" t="s">
        <v>30</v>
      </c>
      <c r="G217" s="11">
        <v>2</v>
      </c>
      <c r="H217" s="11">
        <v>92.52</v>
      </c>
      <c r="I217" s="11">
        <v>0.05</v>
      </c>
      <c r="J217" s="11">
        <v>175.79</v>
      </c>
      <c r="K217" s="11">
        <v>126.36</v>
      </c>
      <c r="L217" s="11">
        <v>49.43</v>
      </c>
      <c r="M217" s="11" t="s">
        <v>18</v>
      </c>
      <c r="N217" s="11" t="s">
        <v>727</v>
      </c>
      <c r="O217" s="18" t="s">
        <v>727</v>
      </c>
      <c r="P217" s="35">
        <f t="shared" si="7"/>
        <v>45860</v>
      </c>
      <c r="Q217" s="16" t="str">
        <f t="shared" si="8"/>
        <v>2025-07</v>
      </c>
      <c r="R217" s="50"/>
    </row>
    <row r="218" spans="1:18">
      <c r="A218" s="21" t="s">
        <v>106</v>
      </c>
      <c r="B218" s="19">
        <v>45956</v>
      </c>
      <c r="C218" s="16" t="s">
        <v>107</v>
      </c>
      <c r="D218" s="16" t="s">
        <v>56</v>
      </c>
      <c r="E218" s="16" t="s">
        <v>16</v>
      </c>
      <c r="F218" s="16" t="s">
        <v>17</v>
      </c>
      <c r="G218" s="16">
        <v>3</v>
      </c>
      <c r="H218" s="16">
        <v>58.79</v>
      </c>
      <c r="I218" s="16">
        <v>0</v>
      </c>
      <c r="J218" s="16">
        <v>176.37</v>
      </c>
      <c r="K218" s="16">
        <v>141.91</v>
      </c>
      <c r="L218" s="16">
        <v>34.46</v>
      </c>
      <c r="M218" s="16" t="s">
        <v>18</v>
      </c>
      <c r="N218" s="16" t="s">
        <v>727</v>
      </c>
      <c r="O218" s="17" t="s">
        <v>727</v>
      </c>
      <c r="P218" s="35">
        <f t="shared" si="7"/>
        <v>45956</v>
      </c>
      <c r="Q218" s="16" t="str">
        <f t="shared" si="8"/>
        <v>2025-10</v>
      </c>
      <c r="R218" s="50"/>
    </row>
    <row r="219" spans="1:18">
      <c r="A219" s="20" t="s">
        <v>27</v>
      </c>
      <c r="B219" s="10">
        <v>45964</v>
      </c>
      <c r="C219" s="11" t="s">
        <v>28</v>
      </c>
      <c r="D219" s="11" t="s">
        <v>29</v>
      </c>
      <c r="E219" s="11" t="s">
        <v>22</v>
      </c>
      <c r="F219" s="11" t="s">
        <v>30</v>
      </c>
      <c r="G219" s="11">
        <v>3</v>
      </c>
      <c r="H219" s="11">
        <v>73.78</v>
      </c>
      <c r="I219" s="11">
        <v>0.2</v>
      </c>
      <c r="J219" s="11">
        <v>177.07</v>
      </c>
      <c r="K219" s="11">
        <v>122.18</v>
      </c>
      <c r="L219" s="11">
        <v>54.89</v>
      </c>
      <c r="M219" s="11" t="s">
        <v>31</v>
      </c>
      <c r="N219" s="11" t="s">
        <v>727</v>
      </c>
      <c r="O219" s="18" t="s">
        <v>727</v>
      </c>
      <c r="P219" s="35">
        <f t="shared" si="7"/>
        <v>45964</v>
      </c>
      <c r="Q219" s="16" t="str">
        <f t="shared" si="8"/>
        <v>2025-11</v>
      </c>
      <c r="R219" s="50"/>
    </row>
    <row r="220" spans="1:18">
      <c r="A220" s="21" t="s">
        <v>633</v>
      </c>
      <c r="B220" s="19">
        <v>45794</v>
      </c>
      <c r="C220" s="16" t="s">
        <v>104</v>
      </c>
      <c r="D220" s="16" t="s">
        <v>53</v>
      </c>
      <c r="E220" s="16" t="s">
        <v>42</v>
      </c>
      <c r="F220" s="16" t="s">
        <v>30</v>
      </c>
      <c r="G220" s="16">
        <v>3</v>
      </c>
      <c r="H220" s="16">
        <v>65.739999999999995</v>
      </c>
      <c r="I220" s="16">
        <v>0.1</v>
      </c>
      <c r="J220" s="16">
        <v>177.5</v>
      </c>
      <c r="K220" s="16">
        <v>128.08000000000001</v>
      </c>
      <c r="L220" s="16">
        <v>49.42</v>
      </c>
      <c r="M220" s="16" t="s">
        <v>18</v>
      </c>
      <c r="N220" s="16" t="s">
        <v>727</v>
      </c>
      <c r="O220" s="17" t="s">
        <v>727</v>
      </c>
      <c r="P220" s="35">
        <f t="shared" si="7"/>
        <v>45794</v>
      </c>
      <c r="Q220" s="16" t="str">
        <f t="shared" si="8"/>
        <v>2025-05</v>
      </c>
      <c r="R220" s="50"/>
    </row>
    <row r="221" spans="1:18">
      <c r="A221" s="20" t="s">
        <v>373</v>
      </c>
      <c r="B221" s="10">
        <v>45699</v>
      </c>
      <c r="C221" s="11" t="s">
        <v>157</v>
      </c>
      <c r="D221" s="11" t="s">
        <v>110</v>
      </c>
      <c r="E221" s="11" t="s">
        <v>35</v>
      </c>
      <c r="F221" s="11" t="s">
        <v>30</v>
      </c>
      <c r="G221" s="11">
        <v>1</v>
      </c>
      <c r="H221" s="11">
        <v>177.9</v>
      </c>
      <c r="I221" s="11">
        <v>0</v>
      </c>
      <c r="J221" s="11">
        <v>177.9</v>
      </c>
      <c r="K221" s="11">
        <v>134.94</v>
      </c>
      <c r="L221" s="11">
        <v>42.96</v>
      </c>
      <c r="M221" s="11" t="s">
        <v>18</v>
      </c>
      <c r="N221" s="11" t="s">
        <v>727</v>
      </c>
      <c r="O221" s="18" t="s">
        <v>727</v>
      </c>
      <c r="P221" s="35">
        <f t="shared" si="7"/>
        <v>45699</v>
      </c>
      <c r="Q221" s="16" t="str">
        <f t="shared" si="8"/>
        <v>2025-02</v>
      </c>
      <c r="R221" s="50"/>
    </row>
    <row r="222" spans="1:18">
      <c r="A222" s="21" t="s">
        <v>13</v>
      </c>
      <c r="B222" s="19">
        <v>45872</v>
      </c>
      <c r="C222" s="16" t="s">
        <v>14</v>
      </c>
      <c r="D222" s="16" t="s">
        <v>15</v>
      </c>
      <c r="E222" s="16" t="s">
        <v>16</v>
      </c>
      <c r="F222" s="16" t="s">
        <v>17</v>
      </c>
      <c r="G222" s="16">
        <v>5</v>
      </c>
      <c r="H222" s="16">
        <v>39.549999999999997</v>
      </c>
      <c r="I222" s="16">
        <v>0.1</v>
      </c>
      <c r="J222" s="16">
        <v>177.98</v>
      </c>
      <c r="K222" s="16">
        <v>129.76</v>
      </c>
      <c r="L222" s="16">
        <v>48.22</v>
      </c>
      <c r="M222" s="16" t="s">
        <v>18</v>
      </c>
      <c r="N222" s="16" t="s">
        <v>727</v>
      </c>
      <c r="O222" s="17" t="s">
        <v>727</v>
      </c>
      <c r="P222" s="35">
        <f t="shared" si="7"/>
        <v>45872</v>
      </c>
      <c r="Q222" s="16" t="str">
        <f t="shared" si="8"/>
        <v>2025-08</v>
      </c>
      <c r="R222" s="50"/>
    </row>
    <row r="223" spans="1:18">
      <c r="A223" s="20" t="s">
        <v>173</v>
      </c>
      <c r="B223" s="10">
        <v>45925</v>
      </c>
      <c r="C223" s="11" t="s">
        <v>174</v>
      </c>
      <c r="D223" s="11" t="s">
        <v>15</v>
      </c>
      <c r="E223" s="11" t="s">
        <v>16</v>
      </c>
      <c r="F223" s="11" t="s">
        <v>23</v>
      </c>
      <c r="G223" s="11">
        <v>2</v>
      </c>
      <c r="H223" s="11">
        <v>93.68</v>
      </c>
      <c r="I223" s="11">
        <v>0.05</v>
      </c>
      <c r="J223" s="11">
        <v>177.99</v>
      </c>
      <c r="K223" s="11">
        <v>142.29</v>
      </c>
      <c r="L223" s="11">
        <v>35.700000000000003</v>
      </c>
      <c r="M223" s="11" t="s">
        <v>18</v>
      </c>
      <c r="N223" s="11" t="s">
        <v>727</v>
      </c>
      <c r="O223" s="18" t="s">
        <v>727</v>
      </c>
      <c r="P223" s="35">
        <f t="shared" si="7"/>
        <v>45925</v>
      </c>
      <c r="Q223" s="16" t="str">
        <f t="shared" si="8"/>
        <v>2025-09</v>
      </c>
      <c r="R223" s="50"/>
    </row>
    <row r="224" spans="1:18">
      <c r="A224" s="21" t="s">
        <v>621</v>
      </c>
      <c r="B224" s="19">
        <v>45675</v>
      </c>
      <c r="C224" s="16" t="s">
        <v>355</v>
      </c>
      <c r="D224" s="16" t="s">
        <v>15</v>
      </c>
      <c r="E224" s="16" t="s">
        <v>16</v>
      </c>
      <c r="F224" s="16" t="s">
        <v>17</v>
      </c>
      <c r="G224" s="16">
        <v>2</v>
      </c>
      <c r="H224" s="16">
        <v>93.9</v>
      </c>
      <c r="I224" s="16">
        <v>0.05</v>
      </c>
      <c r="J224" s="16">
        <v>178.41</v>
      </c>
      <c r="K224" s="16">
        <v>105.85</v>
      </c>
      <c r="L224" s="16">
        <v>72.56</v>
      </c>
      <c r="M224" s="16" t="s">
        <v>24</v>
      </c>
      <c r="N224" s="16" t="s">
        <v>727</v>
      </c>
      <c r="O224" s="17" t="s">
        <v>727</v>
      </c>
      <c r="P224" s="35">
        <f t="shared" si="7"/>
        <v>45675</v>
      </c>
      <c r="Q224" s="16" t="str">
        <f t="shared" si="8"/>
        <v>2025-01</v>
      </c>
      <c r="R224" s="50"/>
    </row>
    <row r="225" spans="1:18">
      <c r="A225" s="20" t="s">
        <v>304</v>
      </c>
      <c r="B225" s="10">
        <v>45963</v>
      </c>
      <c r="C225" s="11" t="s">
        <v>40</v>
      </c>
      <c r="D225" s="11" t="s">
        <v>105</v>
      </c>
      <c r="E225" s="11" t="s">
        <v>42</v>
      </c>
      <c r="F225" s="11" t="s">
        <v>23</v>
      </c>
      <c r="G225" s="11">
        <v>2</v>
      </c>
      <c r="H225" s="11">
        <v>89.45</v>
      </c>
      <c r="I225" s="11">
        <v>0</v>
      </c>
      <c r="J225" s="11">
        <v>178.9</v>
      </c>
      <c r="K225" s="11">
        <v>102.4</v>
      </c>
      <c r="L225" s="11">
        <v>76.5</v>
      </c>
      <c r="M225" s="11" t="s">
        <v>18</v>
      </c>
      <c r="N225" s="11" t="s">
        <v>727</v>
      </c>
      <c r="O225" s="18" t="s">
        <v>727</v>
      </c>
      <c r="P225" s="35">
        <f t="shared" si="7"/>
        <v>45963</v>
      </c>
      <c r="Q225" s="16" t="str">
        <f t="shared" si="8"/>
        <v>2025-11</v>
      </c>
      <c r="R225" s="50"/>
    </row>
    <row r="226" spans="1:18">
      <c r="A226" s="21" t="s">
        <v>389</v>
      </c>
      <c r="B226" s="19">
        <v>45948</v>
      </c>
      <c r="C226" s="16" t="s">
        <v>390</v>
      </c>
      <c r="D226" s="16" t="s">
        <v>48</v>
      </c>
      <c r="E226" s="16" t="s">
        <v>35</v>
      </c>
      <c r="F226" s="16" t="s">
        <v>23</v>
      </c>
      <c r="G226" s="16">
        <v>2</v>
      </c>
      <c r="H226" s="16">
        <v>94.2</v>
      </c>
      <c r="I226" s="16">
        <v>0.05</v>
      </c>
      <c r="J226" s="16">
        <v>178.98</v>
      </c>
      <c r="K226" s="16">
        <v>127.42</v>
      </c>
      <c r="L226" s="16">
        <v>51.56</v>
      </c>
      <c r="M226" s="16" t="s">
        <v>31</v>
      </c>
      <c r="N226" s="16" t="s">
        <v>727</v>
      </c>
      <c r="O226" s="17" t="s">
        <v>727</v>
      </c>
      <c r="P226" s="35">
        <f t="shared" si="7"/>
        <v>45948</v>
      </c>
      <c r="Q226" s="16" t="str">
        <f t="shared" si="8"/>
        <v>2025-10</v>
      </c>
      <c r="R226" s="50"/>
    </row>
    <row r="227" spans="1:18">
      <c r="A227" s="20" t="s">
        <v>673</v>
      </c>
      <c r="B227" s="10">
        <v>45928</v>
      </c>
      <c r="C227" s="11" t="s">
        <v>65</v>
      </c>
      <c r="D227" s="11" t="s">
        <v>77</v>
      </c>
      <c r="E227" s="11" t="s">
        <v>22</v>
      </c>
      <c r="F227" s="11" t="s">
        <v>17</v>
      </c>
      <c r="G227" s="11">
        <v>2</v>
      </c>
      <c r="H227" s="11">
        <v>89.69</v>
      </c>
      <c r="I227" s="11">
        <v>0</v>
      </c>
      <c r="J227" s="11">
        <v>179.38</v>
      </c>
      <c r="K227" s="11">
        <v>149.37</v>
      </c>
      <c r="L227" s="11">
        <v>30.01</v>
      </c>
      <c r="M227" s="11" t="s">
        <v>24</v>
      </c>
      <c r="N227" s="11" t="s">
        <v>727</v>
      </c>
      <c r="O227" s="18" t="s">
        <v>727</v>
      </c>
      <c r="P227" s="35">
        <f t="shared" si="7"/>
        <v>45928</v>
      </c>
      <c r="Q227" s="16" t="str">
        <f t="shared" si="8"/>
        <v>2025-09</v>
      </c>
      <c r="R227" s="50"/>
    </row>
    <row r="228" spans="1:18">
      <c r="A228" s="21" t="s">
        <v>274</v>
      </c>
      <c r="B228" s="19">
        <v>45661</v>
      </c>
      <c r="C228" s="16" t="s">
        <v>275</v>
      </c>
      <c r="D228" s="16" t="s">
        <v>88</v>
      </c>
      <c r="E228" s="16" t="s">
        <v>16</v>
      </c>
      <c r="F228" s="16" t="s">
        <v>36</v>
      </c>
      <c r="G228" s="16">
        <v>3</v>
      </c>
      <c r="H228" s="16">
        <v>66.459999999999994</v>
      </c>
      <c r="I228" s="16">
        <v>0.1</v>
      </c>
      <c r="J228" s="16">
        <v>179.44</v>
      </c>
      <c r="K228" s="16">
        <v>102.21</v>
      </c>
      <c r="L228" s="16">
        <v>77.23</v>
      </c>
      <c r="M228" s="16" t="s">
        <v>18</v>
      </c>
      <c r="N228" s="16" t="s">
        <v>727</v>
      </c>
      <c r="O228" s="17" t="s">
        <v>727</v>
      </c>
      <c r="P228" s="35">
        <f t="shared" si="7"/>
        <v>45661</v>
      </c>
      <c r="Q228" s="16" t="str">
        <f t="shared" si="8"/>
        <v>2025-01</v>
      </c>
      <c r="R228" s="50"/>
    </row>
    <row r="229" spans="1:18">
      <c r="A229" s="20" t="s">
        <v>515</v>
      </c>
      <c r="B229" s="10">
        <v>45998</v>
      </c>
      <c r="C229" s="11" t="s">
        <v>444</v>
      </c>
      <c r="D229" s="11" t="s">
        <v>139</v>
      </c>
      <c r="E229" s="11" t="s">
        <v>16</v>
      </c>
      <c r="F229" s="11" t="s">
        <v>17</v>
      </c>
      <c r="G229" s="11">
        <v>3</v>
      </c>
      <c r="H229" s="11">
        <v>60</v>
      </c>
      <c r="I229" s="11">
        <v>0</v>
      </c>
      <c r="J229" s="11">
        <v>180</v>
      </c>
      <c r="K229" s="11">
        <v>109.51</v>
      </c>
      <c r="L229" s="11">
        <v>70.489999999999995</v>
      </c>
      <c r="M229" s="11" t="s">
        <v>18</v>
      </c>
      <c r="N229" s="11" t="s">
        <v>727</v>
      </c>
      <c r="O229" s="18" t="s">
        <v>727</v>
      </c>
      <c r="P229" s="35">
        <f t="shared" si="7"/>
        <v>45998</v>
      </c>
      <c r="Q229" s="16" t="str">
        <f t="shared" si="8"/>
        <v>2025-12</v>
      </c>
      <c r="R229" s="50"/>
    </row>
    <row r="230" spans="1:18">
      <c r="A230" s="21" t="s">
        <v>311</v>
      </c>
      <c r="B230" s="19">
        <v>45928</v>
      </c>
      <c r="C230" s="16" t="s">
        <v>312</v>
      </c>
      <c r="D230" s="16" t="s">
        <v>56</v>
      </c>
      <c r="E230" s="16" t="s">
        <v>16</v>
      </c>
      <c r="F230" s="16" t="s">
        <v>23</v>
      </c>
      <c r="G230" s="16">
        <v>5</v>
      </c>
      <c r="H230" s="16">
        <v>42.46</v>
      </c>
      <c r="I230" s="16">
        <v>0.15</v>
      </c>
      <c r="J230" s="16">
        <v>180.46</v>
      </c>
      <c r="K230" s="16">
        <v>137.96</v>
      </c>
      <c r="L230" s="16">
        <v>42.5</v>
      </c>
      <c r="M230" s="16" t="s">
        <v>18</v>
      </c>
      <c r="N230" s="16" t="s">
        <v>727</v>
      </c>
      <c r="O230" s="17" t="s">
        <v>727</v>
      </c>
      <c r="P230" s="35">
        <f t="shared" si="7"/>
        <v>45928</v>
      </c>
      <c r="Q230" s="16" t="str">
        <f t="shared" si="8"/>
        <v>2025-09</v>
      </c>
      <c r="R230" s="50"/>
    </row>
    <row r="231" spans="1:18">
      <c r="A231" s="20" t="s">
        <v>360</v>
      </c>
      <c r="B231" s="10">
        <v>45790</v>
      </c>
      <c r="C231" s="11" t="s">
        <v>52</v>
      </c>
      <c r="D231" s="11" t="s">
        <v>61</v>
      </c>
      <c r="E231" s="11" t="s">
        <v>42</v>
      </c>
      <c r="F231" s="11" t="s">
        <v>30</v>
      </c>
      <c r="G231" s="11">
        <v>2</v>
      </c>
      <c r="H231" s="11">
        <v>90.42</v>
      </c>
      <c r="I231" s="11">
        <v>0</v>
      </c>
      <c r="J231" s="11">
        <v>180.84</v>
      </c>
      <c r="K231" s="11">
        <v>117.98</v>
      </c>
      <c r="L231" s="11">
        <v>62.86</v>
      </c>
      <c r="M231" s="11" t="s">
        <v>24</v>
      </c>
      <c r="N231" s="11" t="s">
        <v>727</v>
      </c>
      <c r="O231" s="18" t="s">
        <v>727</v>
      </c>
      <c r="P231" s="35">
        <f t="shared" si="7"/>
        <v>45790</v>
      </c>
      <c r="Q231" s="16" t="str">
        <f t="shared" si="8"/>
        <v>2025-05</v>
      </c>
      <c r="R231" s="50"/>
    </row>
    <row r="232" spans="1:18">
      <c r="A232" s="21" t="s">
        <v>71</v>
      </c>
      <c r="B232" s="19">
        <v>45975</v>
      </c>
      <c r="C232" s="16" t="s">
        <v>72</v>
      </c>
      <c r="D232" s="16" t="s">
        <v>29</v>
      </c>
      <c r="E232" s="16" t="s">
        <v>22</v>
      </c>
      <c r="F232" s="16" t="s">
        <v>23</v>
      </c>
      <c r="G232" s="16">
        <v>3</v>
      </c>
      <c r="H232" s="16">
        <v>63.59</v>
      </c>
      <c r="I232" s="16">
        <v>0.05</v>
      </c>
      <c r="J232" s="16">
        <v>181.23</v>
      </c>
      <c r="K232" s="16">
        <v>137.9</v>
      </c>
      <c r="L232" s="16">
        <v>43.33</v>
      </c>
      <c r="M232" s="16" t="s">
        <v>18</v>
      </c>
      <c r="N232" s="16" t="s">
        <v>727</v>
      </c>
      <c r="O232" s="17" t="s">
        <v>727</v>
      </c>
      <c r="P232" s="35">
        <f t="shared" si="7"/>
        <v>45975</v>
      </c>
      <c r="Q232" s="16" t="str">
        <f t="shared" si="8"/>
        <v>2025-11</v>
      </c>
      <c r="R232" s="50"/>
    </row>
    <row r="233" spans="1:18">
      <c r="A233" s="20" t="s">
        <v>59</v>
      </c>
      <c r="B233" s="10">
        <v>45753</v>
      </c>
      <c r="C233" s="11" t="s">
        <v>60</v>
      </c>
      <c r="D233" s="11" t="s">
        <v>61</v>
      </c>
      <c r="E233" s="11" t="s">
        <v>42</v>
      </c>
      <c r="F233" s="11" t="s">
        <v>36</v>
      </c>
      <c r="G233" s="11">
        <v>5</v>
      </c>
      <c r="H233" s="11">
        <v>42.7</v>
      </c>
      <c r="I233" s="11">
        <v>0.15</v>
      </c>
      <c r="J233" s="11">
        <v>181.48</v>
      </c>
      <c r="K233" s="11">
        <v>125.7</v>
      </c>
      <c r="L233" s="11">
        <v>55.78</v>
      </c>
      <c r="M233" s="11" t="s">
        <v>31</v>
      </c>
      <c r="N233" s="11" t="s">
        <v>727</v>
      </c>
      <c r="O233" s="18" t="s">
        <v>727</v>
      </c>
      <c r="P233" s="35">
        <f t="shared" si="7"/>
        <v>45753</v>
      </c>
      <c r="Q233" s="16" t="str">
        <f t="shared" si="8"/>
        <v>2025-04</v>
      </c>
      <c r="R233" s="50"/>
    </row>
    <row r="234" spans="1:18">
      <c r="A234" s="21" t="s">
        <v>569</v>
      </c>
      <c r="B234" s="19">
        <v>45741</v>
      </c>
      <c r="C234" s="16" t="s">
        <v>540</v>
      </c>
      <c r="D234" s="16" t="s">
        <v>61</v>
      </c>
      <c r="E234" s="16" t="s">
        <v>42</v>
      </c>
      <c r="F234" s="16" t="s">
        <v>36</v>
      </c>
      <c r="G234" s="16">
        <v>4</v>
      </c>
      <c r="H234" s="16">
        <v>50.54</v>
      </c>
      <c r="I234" s="16">
        <v>0.1</v>
      </c>
      <c r="J234" s="16">
        <v>181.94</v>
      </c>
      <c r="K234" s="16">
        <v>136.44999999999999</v>
      </c>
      <c r="L234" s="16">
        <v>45.49</v>
      </c>
      <c r="M234" s="16" t="s">
        <v>18</v>
      </c>
      <c r="N234" s="16" t="s">
        <v>727</v>
      </c>
      <c r="O234" s="17" t="s">
        <v>727</v>
      </c>
      <c r="P234" s="35">
        <f t="shared" si="7"/>
        <v>45741</v>
      </c>
      <c r="Q234" s="16" t="str">
        <f t="shared" si="8"/>
        <v>2025-03</v>
      </c>
      <c r="R234" s="50"/>
    </row>
    <row r="235" spans="1:18">
      <c r="A235" s="20" t="s">
        <v>453</v>
      </c>
      <c r="B235" s="10">
        <v>45723</v>
      </c>
      <c r="C235" s="11" t="s">
        <v>454</v>
      </c>
      <c r="D235" s="11" t="s">
        <v>41</v>
      </c>
      <c r="E235" s="11" t="s">
        <v>42</v>
      </c>
      <c r="F235" s="11" t="s">
        <v>36</v>
      </c>
      <c r="G235" s="11">
        <v>2</v>
      </c>
      <c r="H235" s="11">
        <v>91.37</v>
      </c>
      <c r="I235" s="11">
        <v>0</v>
      </c>
      <c r="J235" s="11">
        <v>182.74</v>
      </c>
      <c r="K235" s="11">
        <v>152.35</v>
      </c>
      <c r="L235" s="11">
        <v>30.39</v>
      </c>
      <c r="M235" s="11" t="s">
        <v>18</v>
      </c>
      <c r="N235" s="11" t="s">
        <v>727</v>
      </c>
      <c r="O235" s="18" t="s">
        <v>727</v>
      </c>
      <c r="P235" s="35">
        <f t="shared" si="7"/>
        <v>45723</v>
      </c>
      <c r="Q235" s="16" t="str">
        <f t="shared" si="8"/>
        <v>2025-03</v>
      </c>
      <c r="R235" s="50"/>
    </row>
    <row r="236" spans="1:18">
      <c r="A236" s="21" t="s">
        <v>290</v>
      </c>
      <c r="B236" s="19">
        <v>45817</v>
      </c>
      <c r="C236" s="16" t="s">
        <v>196</v>
      </c>
      <c r="D236" s="16" t="s">
        <v>34</v>
      </c>
      <c r="E236" s="16" t="s">
        <v>35</v>
      </c>
      <c r="F236" s="16" t="s">
        <v>23</v>
      </c>
      <c r="G236" s="16">
        <v>2</v>
      </c>
      <c r="H236" s="16">
        <v>96.62</v>
      </c>
      <c r="I236" s="16">
        <v>0.05</v>
      </c>
      <c r="J236" s="16">
        <v>183.58</v>
      </c>
      <c r="K236" s="16">
        <v>155.84</v>
      </c>
      <c r="L236" s="16">
        <v>27.74</v>
      </c>
      <c r="M236" s="16" t="s">
        <v>18</v>
      </c>
      <c r="N236" s="16" t="s">
        <v>727</v>
      </c>
      <c r="O236" s="17" t="s">
        <v>727</v>
      </c>
      <c r="P236" s="35">
        <f t="shared" si="7"/>
        <v>45817</v>
      </c>
      <c r="Q236" s="16" t="str">
        <f t="shared" si="8"/>
        <v>2025-06</v>
      </c>
      <c r="R236" s="50"/>
    </row>
    <row r="237" spans="1:18">
      <c r="A237" s="20" t="s">
        <v>276</v>
      </c>
      <c r="B237" s="10">
        <v>45968</v>
      </c>
      <c r="C237" s="11" t="s">
        <v>26</v>
      </c>
      <c r="D237" s="11" t="s">
        <v>70</v>
      </c>
      <c r="E237" s="11" t="s">
        <v>35</v>
      </c>
      <c r="F237" s="11" t="s">
        <v>36</v>
      </c>
      <c r="G237" s="11">
        <v>2</v>
      </c>
      <c r="H237" s="11">
        <v>97.47</v>
      </c>
      <c r="I237" s="11">
        <v>0.05</v>
      </c>
      <c r="J237" s="11">
        <v>185.19</v>
      </c>
      <c r="K237" s="11">
        <v>150.56</v>
      </c>
      <c r="L237" s="11">
        <v>34.630000000000003</v>
      </c>
      <c r="M237" s="11" t="s">
        <v>18</v>
      </c>
      <c r="N237" s="11" t="s">
        <v>727</v>
      </c>
      <c r="O237" s="18" t="s">
        <v>727</v>
      </c>
      <c r="P237" s="35">
        <f t="shared" si="7"/>
        <v>45968</v>
      </c>
      <c r="Q237" s="16" t="str">
        <f t="shared" si="8"/>
        <v>2025-11</v>
      </c>
      <c r="R237" s="50"/>
    </row>
    <row r="238" spans="1:18">
      <c r="A238" s="21" t="s">
        <v>440</v>
      </c>
      <c r="B238" s="19">
        <v>45764</v>
      </c>
      <c r="C238" s="16" t="s">
        <v>135</v>
      </c>
      <c r="D238" s="16" t="s">
        <v>61</v>
      </c>
      <c r="E238" s="16" t="s">
        <v>42</v>
      </c>
      <c r="F238" s="16" t="s">
        <v>36</v>
      </c>
      <c r="G238" s="16">
        <v>5</v>
      </c>
      <c r="H238" s="16">
        <v>39.729999999999997</v>
      </c>
      <c r="I238" s="16">
        <v>0.05</v>
      </c>
      <c r="J238" s="16">
        <v>188.72</v>
      </c>
      <c r="K238" s="16">
        <v>122.73</v>
      </c>
      <c r="L238" s="16">
        <v>65.989999999999995</v>
      </c>
      <c r="M238" s="16" t="s">
        <v>31</v>
      </c>
      <c r="N238" s="16" t="s">
        <v>727</v>
      </c>
      <c r="O238" s="17" t="s">
        <v>727</v>
      </c>
      <c r="P238" s="35">
        <f t="shared" si="7"/>
        <v>45764</v>
      </c>
      <c r="Q238" s="16" t="str">
        <f t="shared" si="8"/>
        <v>2025-04</v>
      </c>
      <c r="R238" s="50"/>
    </row>
    <row r="239" spans="1:18">
      <c r="A239" s="20" t="s">
        <v>708</v>
      </c>
      <c r="B239" s="10">
        <v>45951</v>
      </c>
      <c r="C239" s="11" t="s">
        <v>282</v>
      </c>
      <c r="D239" s="11" t="s">
        <v>53</v>
      </c>
      <c r="E239" s="11" t="s">
        <v>42</v>
      </c>
      <c r="F239" s="11" t="s">
        <v>36</v>
      </c>
      <c r="G239" s="11">
        <v>2</v>
      </c>
      <c r="H239" s="11">
        <v>111.85</v>
      </c>
      <c r="I239" s="11">
        <v>0.15</v>
      </c>
      <c r="J239" s="11">
        <v>190.14</v>
      </c>
      <c r="K239" s="11">
        <v>151.49</v>
      </c>
      <c r="L239" s="11">
        <v>38.65</v>
      </c>
      <c r="M239" s="11" t="s">
        <v>31</v>
      </c>
      <c r="N239" s="11" t="s">
        <v>728</v>
      </c>
      <c r="O239" s="18" t="s">
        <v>727</v>
      </c>
      <c r="P239" s="35">
        <f t="shared" si="7"/>
        <v>45951</v>
      </c>
      <c r="Q239" s="16" t="str">
        <f t="shared" si="8"/>
        <v>2025-10</v>
      </c>
      <c r="R239" s="50"/>
    </row>
    <row r="240" spans="1:18">
      <c r="A240" s="21" t="s">
        <v>536</v>
      </c>
      <c r="B240" s="19">
        <v>45671</v>
      </c>
      <c r="C240" s="16" t="s">
        <v>448</v>
      </c>
      <c r="D240" s="16" t="s">
        <v>88</v>
      </c>
      <c r="E240" s="16" t="s">
        <v>16</v>
      </c>
      <c r="F240" s="16" t="s">
        <v>23</v>
      </c>
      <c r="G240" s="16">
        <v>2</v>
      </c>
      <c r="H240" s="16">
        <v>108.77</v>
      </c>
      <c r="I240" s="16">
        <v>0.1</v>
      </c>
      <c r="J240" s="16">
        <v>195.79</v>
      </c>
      <c r="K240" s="16">
        <v>111.9</v>
      </c>
      <c r="L240" s="16">
        <v>83.89</v>
      </c>
      <c r="M240" s="16" t="s">
        <v>18</v>
      </c>
      <c r="N240" s="16" t="s">
        <v>727</v>
      </c>
      <c r="O240" s="17" t="s">
        <v>727</v>
      </c>
      <c r="P240" s="35">
        <f t="shared" si="7"/>
        <v>45671</v>
      </c>
      <c r="Q240" s="16" t="str">
        <f t="shared" si="8"/>
        <v>2025-01</v>
      </c>
      <c r="R240" s="50"/>
    </row>
    <row r="241" spans="1:18">
      <c r="A241" s="20" t="s">
        <v>429</v>
      </c>
      <c r="B241" s="10">
        <v>45959</v>
      </c>
      <c r="C241" s="11" t="s">
        <v>218</v>
      </c>
      <c r="D241" s="11" t="s">
        <v>48</v>
      </c>
      <c r="E241" s="11" t="s">
        <v>35</v>
      </c>
      <c r="F241" s="11" t="s">
        <v>36</v>
      </c>
      <c r="G241" s="11">
        <v>3</v>
      </c>
      <c r="H241" s="11">
        <v>77.06</v>
      </c>
      <c r="I241" s="11">
        <v>0.15</v>
      </c>
      <c r="J241" s="11">
        <v>196.5</v>
      </c>
      <c r="K241" s="11">
        <v>120.1</v>
      </c>
      <c r="L241" s="11">
        <v>76.400000000000006</v>
      </c>
      <c r="M241" s="11" t="s">
        <v>18</v>
      </c>
      <c r="N241" s="11" t="s">
        <v>727</v>
      </c>
      <c r="O241" s="18" t="s">
        <v>727</v>
      </c>
      <c r="P241" s="35">
        <f t="shared" si="7"/>
        <v>45959</v>
      </c>
      <c r="Q241" s="16" t="str">
        <f t="shared" si="8"/>
        <v>2025-10</v>
      </c>
      <c r="R241" s="50"/>
    </row>
    <row r="242" spans="1:18">
      <c r="A242" s="21" t="s">
        <v>254</v>
      </c>
      <c r="B242" s="19">
        <v>45983</v>
      </c>
      <c r="C242" s="16" t="s">
        <v>90</v>
      </c>
      <c r="D242" s="16" t="s">
        <v>61</v>
      </c>
      <c r="E242" s="16" t="s">
        <v>42</v>
      </c>
      <c r="F242" s="16" t="s">
        <v>23</v>
      </c>
      <c r="G242" s="16">
        <v>2</v>
      </c>
      <c r="H242" s="16">
        <v>98.42</v>
      </c>
      <c r="I242" s="16">
        <v>0</v>
      </c>
      <c r="J242" s="16">
        <v>196.84</v>
      </c>
      <c r="K242" s="16">
        <v>124.34</v>
      </c>
      <c r="L242" s="16">
        <v>72.5</v>
      </c>
      <c r="M242" s="16" t="s">
        <v>18</v>
      </c>
      <c r="N242" s="16" t="s">
        <v>727</v>
      </c>
      <c r="O242" s="17" t="s">
        <v>727</v>
      </c>
      <c r="P242" s="35">
        <f t="shared" si="7"/>
        <v>45983</v>
      </c>
      <c r="Q242" s="16" t="str">
        <f t="shared" si="8"/>
        <v>2025-11</v>
      </c>
      <c r="R242" s="50"/>
    </row>
    <row r="243" spans="1:18">
      <c r="A243" s="20" t="s">
        <v>418</v>
      </c>
      <c r="B243" s="10">
        <v>45883</v>
      </c>
      <c r="C243" s="11" t="s">
        <v>419</v>
      </c>
      <c r="D243" s="11" t="s">
        <v>45</v>
      </c>
      <c r="E243" s="11" t="s">
        <v>22</v>
      </c>
      <c r="F243" s="11" t="s">
        <v>36</v>
      </c>
      <c r="G243" s="11">
        <v>2</v>
      </c>
      <c r="H243" s="11">
        <v>111.52</v>
      </c>
      <c r="I243" s="11">
        <v>0.1</v>
      </c>
      <c r="J243" s="11">
        <v>200.74</v>
      </c>
      <c r="K243" s="11">
        <v>155.46</v>
      </c>
      <c r="L243" s="11">
        <v>45.28</v>
      </c>
      <c r="M243" s="11" t="s">
        <v>24</v>
      </c>
      <c r="N243" s="11" t="s">
        <v>727</v>
      </c>
      <c r="O243" s="18" t="s">
        <v>727</v>
      </c>
      <c r="P243" s="35">
        <f t="shared" si="7"/>
        <v>45883</v>
      </c>
      <c r="Q243" s="16" t="str">
        <f t="shared" si="8"/>
        <v>2025-08</v>
      </c>
      <c r="R243" s="50"/>
    </row>
    <row r="244" spans="1:18">
      <c r="A244" s="21" t="s">
        <v>477</v>
      </c>
      <c r="B244" s="19">
        <v>45748</v>
      </c>
      <c r="C244" s="16" t="s">
        <v>355</v>
      </c>
      <c r="D244" s="16" t="s">
        <v>21</v>
      </c>
      <c r="E244" s="16" t="s">
        <v>22</v>
      </c>
      <c r="F244" s="16" t="s">
        <v>23</v>
      </c>
      <c r="G244" s="16">
        <v>2</v>
      </c>
      <c r="H244" s="16">
        <v>119.93</v>
      </c>
      <c r="I244" s="16">
        <v>0.15</v>
      </c>
      <c r="J244" s="16">
        <v>203.88</v>
      </c>
      <c r="K244" s="16">
        <v>112.15</v>
      </c>
      <c r="L244" s="16">
        <v>91.73</v>
      </c>
      <c r="M244" s="16" t="s">
        <v>18</v>
      </c>
      <c r="N244" s="16" t="s">
        <v>727</v>
      </c>
      <c r="O244" s="17" t="s">
        <v>727</v>
      </c>
      <c r="P244" s="35">
        <f t="shared" si="7"/>
        <v>45748</v>
      </c>
      <c r="Q244" s="16" t="str">
        <f t="shared" si="8"/>
        <v>2025-04</v>
      </c>
      <c r="R244" s="50"/>
    </row>
    <row r="245" spans="1:18">
      <c r="A245" s="20" t="s">
        <v>82</v>
      </c>
      <c r="B245" s="10">
        <v>46017</v>
      </c>
      <c r="C245" s="11" t="s">
        <v>83</v>
      </c>
      <c r="D245" s="11" t="s">
        <v>53</v>
      </c>
      <c r="E245" s="11" t="s">
        <v>42</v>
      </c>
      <c r="F245" s="11" t="s">
        <v>17</v>
      </c>
      <c r="G245" s="11">
        <v>3</v>
      </c>
      <c r="H245" s="11">
        <v>67.97</v>
      </c>
      <c r="I245" s="11">
        <v>0</v>
      </c>
      <c r="J245" s="11">
        <v>203.91</v>
      </c>
      <c r="K245" s="11">
        <v>169.69</v>
      </c>
      <c r="L245" s="11">
        <v>34.22</v>
      </c>
      <c r="M245" s="11" t="s">
        <v>18</v>
      </c>
      <c r="N245" s="11" t="s">
        <v>727</v>
      </c>
      <c r="O245" s="18" t="s">
        <v>727</v>
      </c>
      <c r="P245" s="35">
        <f t="shared" si="7"/>
        <v>46017</v>
      </c>
      <c r="Q245" s="16" t="str">
        <f t="shared" si="8"/>
        <v>2025-12</v>
      </c>
      <c r="R245" s="50"/>
    </row>
    <row r="246" spans="1:18">
      <c r="A246" s="21" t="s">
        <v>531</v>
      </c>
      <c r="B246" s="19">
        <v>45947</v>
      </c>
      <c r="C246" s="16" t="s">
        <v>273</v>
      </c>
      <c r="D246" s="16" t="s">
        <v>29</v>
      </c>
      <c r="E246" s="16" t="s">
        <v>22</v>
      </c>
      <c r="F246" s="16" t="s">
        <v>30</v>
      </c>
      <c r="G246" s="16">
        <v>3</v>
      </c>
      <c r="H246" s="16">
        <v>68</v>
      </c>
      <c r="I246" s="16">
        <v>0</v>
      </c>
      <c r="J246" s="16">
        <v>204</v>
      </c>
      <c r="K246" s="16">
        <v>161.66</v>
      </c>
      <c r="L246" s="16">
        <v>42.34</v>
      </c>
      <c r="M246" s="16" t="s">
        <v>31</v>
      </c>
      <c r="N246" s="16" t="s">
        <v>727</v>
      </c>
      <c r="O246" s="17" t="s">
        <v>727</v>
      </c>
      <c r="P246" s="35">
        <f t="shared" si="7"/>
        <v>45947</v>
      </c>
      <c r="Q246" s="16" t="str">
        <f t="shared" si="8"/>
        <v>2025-10</v>
      </c>
      <c r="R246" s="50"/>
    </row>
    <row r="247" spans="1:18">
      <c r="A247" s="20" t="s">
        <v>601</v>
      </c>
      <c r="B247" s="10">
        <v>45704</v>
      </c>
      <c r="C247" s="11" t="s">
        <v>152</v>
      </c>
      <c r="D247" s="11" t="s">
        <v>105</v>
      </c>
      <c r="E247" s="11" t="s">
        <v>42</v>
      </c>
      <c r="F247" s="11" t="s">
        <v>23</v>
      </c>
      <c r="G247" s="11">
        <v>3</v>
      </c>
      <c r="H247" s="11">
        <v>69.209999999999994</v>
      </c>
      <c r="I247" s="11">
        <v>0</v>
      </c>
      <c r="J247" s="11">
        <v>207.63</v>
      </c>
      <c r="K247" s="11">
        <v>134.97</v>
      </c>
      <c r="L247" s="11">
        <v>72.66</v>
      </c>
      <c r="M247" s="11" t="s">
        <v>31</v>
      </c>
      <c r="N247" s="11" t="s">
        <v>727</v>
      </c>
      <c r="O247" s="18" t="s">
        <v>727</v>
      </c>
      <c r="P247" s="35">
        <f t="shared" si="7"/>
        <v>45704</v>
      </c>
      <c r="Q247" s="16" t="str">
        <f t="shared" si="8"/>
        <v>2025-02</v>
      </c>
      <c r="R247" s="50"/>
    </row>
    <row r="248" spans="1:18">
      <c r="A248" s="21" t="s">
        <v>555</v>
      </c>
      <c r="B248" s="19">
        <v>45810</v>
      </c>
      <c r="C248" s="16" t="s">
        <v>92</v>
      </c>
      <c r="D248" s="16" t="s">
        <v>110</v>
      </c>
      <c r="E248" s="16" t="s">
        <v>35</v>
      </c>
      <c r="F248" s="16" t="s">
        <v>17</v>
      </c>
      <c r="G248" s="16">
        <v>3</v>
      </c>
      <c r="H248" s="16">
        <v>73.8</v>
      </c>
      <c r="I248" s="16">
        <v>0.05</v>
      </c>
      <c r="J248" s="16">
        <v>210.33</v>
      </c>
      <c r="K248" s="16">
        <v>127.15</v>
      </c>
      <c r="L248" s="16">
        <v>83.18</v>
      </c>
      <c r="M248" s="16" t="s">
        <v>31</v>
      </c>
      <c r="N248" s="16" t="s">
        <v>727</v>
      </c>
      <c r="O248" s="17" t="s">
        <v>727</v>
      </c>
      <c r="P248" s="35">
        <f t="shared" si="7"/>
        <v>45810</v>
      </c>
      <c r="Q248" s="16" t="str">
        <f t="shared" si="8"/>
        <v>2025-06</v>
      </c>
      <c r="R248" s="50"/>
    </row>
    <row r="249" spans="1:18">
      <c r="A249" s="20" t="s">
        <v>39</v>
      </c>
      <c r="B249" s="10">
        <v>45819</v>
      </c>
      <c r="C249" s="11" t="s">
        <v>40</v>
      </c>
      <c r="D249" s="11" t="s">
        <v>41</v>
      </c>
      <c r="E249" s="11" t="s">
        <v>42</v>
      </c>
      <c r="F249" s="11" t="s">
        <v>17</v>
      </c>
      <c r="G249" s="11">
        <v>2</v>
      </c>
      <c r="H249" s="11">
        <v>105.64</v>
      </c>
      <c r="I249" s="11">
        <v>0</v>
      </c>
      <c r="J249" s="11">
        <v>211.28</v>
      </c>
      <c r="K249" s="11">
        <v>169.59</v>
      </c>
      <c r="L249" s="11">
        <v>41.69</v>
      </c>
      <c r="M249" s="11" t="s">
        <v>24</v>
      </c>
      <c r="N249" s="11" t="s">
        <v>727</v>
      </c>
      <c r="O249" s="18" t="s">
        <v>727</v>
      </c>
      <c r="P249" s="35">
        <f t="shared" si="7"/>
        <v>45819</v>
      </c>
      <c r="Q249" s="16" t="str">
        <f t="shared" si="8"/>
        <v>2025-06</v>
      </c>
      <c r="R249" s="50"/>
    </row>
    <row r="250" spans="1:18">
      <c r="A250" s="21" t="s">
        <v>388</v>
      </c>
      <c r="B250" s="19">
        <v>45800</v>
      </c>
      <c r="C250" s="16" t="s">
        <v>63</v>
      </c>
      <c r="D250" s="16" t="s">
        <v>77</v>
      </c>
      <c r="E250" s="16" t="s">
        <v>22</v>
      </c>
      <c r="F250" s="16" t="s">
        <v>23</v>
      </c>
      <c r="G250" s="16">
        <v>2</v>
      </c>
      <c r="H250" s="16">
        <v>111.3</v>
      </c>
      <c r="I250" s="16">
        <v>0.05</v>
      </c>
      <c r="J250" s="16">
        <v>211.47</v>
      </c>
      <c r="K250" s="16">
        <v>174.64</v>
      </c>
      <c r="L250" s="16">
        <v>36.83</v>
      </c>
      <c r="M250" s="16" t="s">
        <v>18</v>
      </c>
      <c r="N250" s="16" t="s">
        <v>727</v>
      </c>
      <c r="O250" s="17" t="s">
        <v>727</v>
      </c>
      <c r="P250" s="35">
        <f t="shared" si="7"/>
        <v>45800</v>
      </c>
      <c r="Q250" s="16" t="str">
        <f t="shared" si="8"/>
        <v>2025-05</v>
      </c>
      <c r="R250" s="50"/>
    </row>
    <row r="251" spans="1:18">
      <c r="A251" s="20" t="s">
        <v>562</v>
      </c>
      <c r="B251" s="10">
        <v>45905</v>
      </c>
      <c r="C251" s="11" t="s">
        <v>174</v>
      </c>
      <c r="D251" s="11" t="s">
        <v>110</v>
      </c>
      <c r="E251" s="11" t="s">
        <v>35</v>
      </c>
      <c r="F251" s="11" t="s">
        <v>30</v>
      </c>
      <c r="G251" s="11">
        <v>2</v>
      </c>
      <c r="H251" s="11">
        <v>126.7</v>
      </c>
      <c r="I251" s="11">
        <v>0.15</v>
      </c>
      <c r="J251" s="11">
        <v>215.39</v>
      </c>
      <c r="K251" s="11">
        <v>150.6</v>
      </c>
      <c r="L251" s="11">
        <v>64.790000000000006</v>
      </c>
      <c r="M251" s="11" t="s">
        <v>18</v>
      </c>
      <c r="N251" s="11" t="s">
        <v>727</v>
      </c>
      <c r="O251" s="18" t="s">
        <v>727</v>
      </c>
      <c r="P251" s="35">
        <f t="shared" si="7"/>
        <v>45905</v>
      </c>
      <c r="Q251" s="16" t="str">
        <f t="shared" si="8"/>
        <v>2025-09</v>
      </c>
      <c r="R251" s="50"/>
    </row>
    <row r="252" spans="1:18">
      <c r="A252" s="21" t="s">
        <v>505</v>
      </c>
      <c r="B252" s="19">
        <v>45813</v>
      </c>
      <c r="C252" s="16" t="s">
        <v>379</v>
      </c>
      <c r="D252" s="16" t="s">
        <v>70</v>
      </c>
      <c r="E252" s="16" t="s">
        <v>35</v>
      </c>
      <c r="F252" s="16" t="s">
        <v>17</v>
      </c>
      <c r="G252" s="16">
        <v>2</v>
      </c>
      <c r="H252" s="16">
        <v>109.53</v>
      </c>
      <c r="I252" s="16">
        <v>0</v>
      </c>
      <c r="J252" s="16">
        <v>219.06</v>
      </c>
      <c r="K252" s="16">
        <v>145.72999999999999</v>
      </c>
      <c r="L252" s="16">
        <v>73.33</v>
      </c>
      <c r="M252" s="16" t="s">
        <v>18</v>
      </c>
      <c r="N252" s="16" t="s">
        <v>727</v>
      </c>
      <c r="O252" s="17" t="s">
        <v>727</v>
      </c>
      <c r="P252" s="35">
        <f t="shared" si="7"/>
        <v>45813</v>
      </c>
      <c r="Q252" s="16" t="str">
        <f t="shared" si="8"/>
        <v>2025-06</v>
      </c>
      <c r="R252" s="50"/>
    </row>
    <row r="253" spans="1:18">
      <c r="A253" s="20" t="s">
        <v>198</v>
      </c>
      <c r="B253" s="10">
        <v>45972</v>
      </c>
      <c r="C253" s="11" t="s">
        <v>164</v>
      </c>
      <c r="D253" s="11" t="s">
        <v>48</v>
      </c>
      <c r="E253" s="11" t="s">
        <v>35</v>
      </c>
      <c r="F253" s="11" t="s">
        <v>36</v>
      </c>
      <c r="G253" s="11">
        <v>3</v>
      </c>
      <c r="H253" s="11">
        <v>73.150000000000006</v>
      </c>
      <c r="I253" s="11">
        <v>0</v>
      </c>
      <c r="J253" s="11">
        <v>219.45</v>
      </c>
      <c r="K253" s="11">
        <v>179.93</v>
      </c>
      <c r="L253" s="11">
        <v>39.520000000000003</v>
      </c>
      <c r="M253" s="11" t="s">
        <v>18</v>
      </c>
      <c r="N253" s="11" t="s">
        <v>727</v>
      </c>
      <c r="O253" s="18" t="s">
        <v>727</v>
      </c>
      <c r="P253" s="35">
        <f t="shared" si="7"/>
        <v>45972</v>
      </c>
      <c r="Q253" s="16" t="str">
        <f t="shared" si="8"/>
        <v>2025-11</v>
      </c>
      <c r="R253" s="50"/>
    </row>
    <row r="254" spans="1:18">
      <c r="A254" s="21" t="s">
        <v>679</v>
      </c>
      <c r="B254" s="19">
        <v>45994</v>
      </c>
      <c r="C254" s="16" t="s">
        <v>397</v>
      </c>
      <c r="D254" s="16" t="s">
        <v>70</v>
      </c>
      <c r="E254" s="16" t="s">
        <v>35</v>
      </c>
      <c r="F254" s="16" t="s">
        <v>30</v>
      </c>
      <c r="G254" s="16">
        <v>2</v>
      </c>
      <c r="H254" s="16">
        <v>122.76</v>
      </c>
      <c r="I254" s="16">
        <v>0.1</v>
      </c>
      <c r="J254" s="16">
        <v>220.97</v>
      </c>
      <c r="K254" s="16">
        <v>178.69</v>
      </c>
      <c r="L254" s="16">
        <v>42.28</v>
      </c>
      <c r="M254" s="16" t="s">
        <v>31</v>
      </c>
      <c r="N254" s="16" t="s">
        <v>727</v>
      </c>
      <c r="O254" s="17" t="s">
        <v>727</v>
      </c>
      <c r="P254" s="35">
        <f t="shared" si="7"/>
        <v>45994</v>
      </c>
      <c r="Q254" s="16" t="str">
        <f t="shared" si="8"/>
        <v>2025-12</v>
      </c>
      <c r="R254" s="50"/>
    </row>
    <row r="255" spans="1:18">
      <c r="A255" s="20" t="s">
        <v>301</v>
      </c>
      <c r="B255" s="10">
        <v>45731</v>
      </c>
      <c r="C255" s="11" t="s">
        <v>112</v>
      </c>
      <c r="D255" s="11" t="s">
        <v>70</v>
      </c>
      <c r="E255" s="11" t="s">
        <v>35</v>
      </c>
      <c r="F255" s="11" t="s">
        <v>23</v>
      </c>
      <c r="G255" s="11">
        <v>2</v>
      </c>
      <c r="H255" s="11">
        <v>117.05</v>
      </c>
      <c r="I255" s="11">
        <v>0.05</v>
      </c>
      <c r="J255" s="11">
        <v>222.4</v>
      </c>
      <c r="K255" s="11">
        <v>174.35</v>
      </c>
      <c r="L255" s="11">
        <v>48.05</v>
      </c>
      <c r="M255" s="11" t="s">
        <v>18</v>
      </c>
      <c r="N255" s="11" t="s">
        <v>727</v>
      </c>
      <c r="O255" s="18" t="s">
        <v>727</v>
      </c>
      <c r="P255" s="35">
        <f t="shared" si="7"/>
        <v>45731</v>
      </c>
      <c r="Q255" s="16" t="str">
        <f t="shared" si="8"/>
        <v>2025-03</v>
      </c>
      <c r="R255" s="50"/>
    </row>
    <row r="256" spans="1:18">
      <c r="A256" s="21" t="s">
        <v>452</v>
      </c>
      <c r="B256" s="19">
        <v>45674</v>
      </c>
      <c r="C256" s="16" t="s">
        <v>355</v>
      </c>
      <c r="D256" s="16" t="s">
        <v>70</v>
      </c>
      <c r="E256" s="16" t="s">
        <v>35</v>
      </c>
      <c r="F256" s="16" t="s">
        <v>36</v>
      </c>
      <c r="G256" s="16">
        <v>5</v>
      </c>
      <c r="H256" s="16">
        <v>47.11</v>
      </c>
      <c r="I256" s="16">
        <v>0.05</v>
      </c>
      <c r="J256" s="16">
        <v>223.77</v>
      </c>
      <c r="K256" s="16">
        <v>159.5</v>
      </c>
      <c r="L256" s="16">
        <v>64.27</v>
      </c>
      <c r="M256" s="16" t="s">
        <v>18</v>
      </c>
      <c r="N256" s="16" t="s">
        <v>727</v>
      </c>
      <c r="O256" s="17" t="s">
        <v>727</v>
      </c>
      <c r="P256" s="35">
        <f t="shared" si="7"/>
        <v>45674</v>
      </c>
      <c r="Q256" s="16" t="str">
        <f t="shared" si="8"/>
        <v>2025-01</v>
      </c>
      <c r="R256" s="50"/>
    </row>
    <row r="257" spans="1:18">
      <c r="A257" s="20" t="s">
        <v>697</v>
      </c>
      <c r="B257" s="10">
        <v>45759</v>
      </c>
      <c r="C257" s="11" t="s">
        <v>698</v>
      </c>
      <c r="D257" s="11" t="s">
        <v>70</v>
      </c>
      <c r="E257" s="11" t="s">
        <v>35</v>
      </c>
      <c r="F257" s="11" t="s">
        <v>30</v>
      </c>
      <c r="G257" s="11">
        <v>2</v>
      </c>
      <c r="H257" s="11">
        <v>124.51</v>
      </c>
      <c r="I257" s="11">
        <v>0.1</v>
      </c>
      <c r="J257" s="11">
        <v>224.12</v>
      </c>
      <c r="K257" s="11">
        <v>185.74</v>
      </c>
      <c r="L257" s="11">
        <v>38.380000000000003</v>
      </c>
      <c r="M257" s="11" t="s">
        <v>18</v>
      </c>
      <c r="N257" s="11" t="s">
        <v>727</v>
      </c>
      <c r="O257" s="18" t="s">
        <v>727</v>
      </c>
      <c r="P257" s="35">
        <f t="shared" si="7"/>
        <v>45759</v>
      </c>
      <c r="Q257" s="16" t="str">
        <f t="shared" si="8"/>
        <v>2025-04</v>
      </c>
      <c r="R257" s="50"/>
    </row>
    <row r="258" spans="1:18">
      <c r="A258" s="21" t="s">
        <v>179</v>
      </c>
      <c r="B258" s="19">
        <v>45795</v>
      </c>
      <c r="C258" s="16" t="s">
        <v>180</v>
      </c>
      <c r="D258" s="16" t="s">
        <v>45</v>
      </c>
      <c r="E258" s="16" t="s">
        <v>22</v>
      </c>
      <c r="F258" s="16" t="s">
        <v>36</v>
      </c>
      <c r="G258" s="16">
        <v>4</v>
      </c>
      <c r="H258" s="16">
        <v>59.25</v>
      </c>
      <c r="I258" s="16">
        <v>0.05</v>
      </c>
      <c r="J258" s="16">
        <v>225.15</v>
      </c>
      <c r="K258" s="16">
        <v>170.95</v>
      </c>
      <c r="L258" s="16">
        <v>54.2</v>
      </c>
      <c r="M258" s="16" t="s">
        <v>31</v>
      </c>
      <c r="N258" s="16" t="s">
        <v>727</v>
      </c>
      <c r="O258" s="17" t="s">
        <v>727</v>
      </c>
      <c r="P258" s="35">
        <f t="shared" ref="P258:P321" si="9">IF(ISNUMBER(B258),INT(B258),"")</f>
        <v>45795</v>
      </c>
      <c r="Q258" s="16" t="str">
        <f t="shared" ref="Q258:Q321" si="10">IF(ISNUMBER(B258),TEXT(B258,"yyyy-mm"),"Invalid/Missing")</f>
        <v>2025-05</v>
      </c>
      <c r="R258" s="50"/>
    </row>
    <row r="259" spans="1:18">
      <c r="A259" s="20" t="s">
        <v>91</v>
      </c>
      <c r="B259" s="10">
        <v>45725</v>
      </c>
      <c r="C259" s="11" t="s">
        <v>92</v>
      </c>
      <c r="D259" s="11" t="s">
        <v>41</v>
      </c>
      <c r="E259" s="11" t="s">
        <v>42</v>
      </c>
      <c r="F259" s="11" t="s">
        <v>36</v>
      </c>
      <c r="G259" s="11">
        <v>2</v>
      </c>
      <c r="H259" s="11">
        <v>127.01</v>
      </c>
      <c r="I259" s="11">
        <v>0.1</v>
      </c>
      <c r="J259" s="11">
        <v>228.62</v>
      </c>
      <c r="K259" s="11">
        <v>141.12</v>
      </c>
      <c r="L259" s="11">
        <v>87.5</v>
      </c>
      <c r="M259" s="11" t="s">
        <v>18</v>
      </c>
      <c r="N259" s="11" t="s">
        <v>727</v>
      </c>
      <c r="O259" s="18" t="s">
        <v>727</v>
      </c>
      <c r="P259" s="35">
        <f t="shared" si="9"/>
        <v>45725</v>
      </c>
      <c r="Q259" s="16" t="str">
        <f t="shared" si="10"/>
        <v>2025-03</v>
      </c>
      <c r="R259" s="50"/>
    </row>
    <row r="260" spans="1:18">
      <c r="A260" s="21" t="s">
        <v>591</v>
      </c>
      <c r="B260" s="19">
        <v>45824</v>
      </c>
      <c r="C260" s="16" t="s">
        <v>347</v>
      </c>
      <c r="D260" s="16" t="s">
        <v>34</v>
      </c>
      <c r="E260" s="16" t="s">
        <v>35</v>
      </c>
      <c r="F260" s="16" t="s">
        <v>30</v>
      </c>
      <c r="G260" s="16">
        <v>2</v>
      </c>
      <c r="H260" s="16">
        <v>127.92</v>
      </c>
      <c r="I260" s="16">
        <v>0.1</v>
      </c>
      <c r="J260" s="16">
        <v>230.26</v>
      </c>
      <c r="K260" s="16">
        <v>158.54</v>
      </c>
      <c r="L260" s="16">
        <v>71.72</v>
      </c>
      <c r="M260" s="16" t="s">
        <v>18</v>
      </c>
      <c r="N260" s="16" t="s">
        <v>727</v>
      </c>
      <c r="O260" s="17" t="s">
        <v>727</v>
      </c>
      <c r="P260" s="35">
        <f t="shared" si="9"/>
        <v>45824</v>
      </c>
      <c r="Q260" s="16" t="str">
        <f t="shared" si="10"/>
        <v>2025-06</v>
      </c>
      <c r="R260" s="50"/>
    </row>
    <row r="261" spans="1:18">
      <c r="A261" s="20" t="s">
        <v>625</v>
      </c>
      <c r="B261" s="10">
        <v>45680</v>
      </c>
      <c r="C261" s="11" t="s">
        <v>474</v>
      </c>
      <c r="D261" s="11" t="s">
        <v>139</v>
      </c>
      <c r="E261" s="11" t="s">
        <v>16</v>
      </c>
      <c r="F261" s="11" t="s">
        <v>30</v>
      </c>
      <c r="G261" s="11">
        <v>4</v>
      </c>
      <c r="H261" s="11">
        <v>57.74</v>
      </c>
      <c r="I261" s="11">
        <v>0</v>
      </c>
      <c r="J261" s="11">
        <v>230.96</v>
      </c>
      <c r="K261" s="11">
        <v>144.35</v>
      </c>
      <c r="L261" s="11">
        <v>86.61</v>
      </c>
      <c r="M261" s="11" t="s">
        <v>18</v>
      </c>
      <c r="N261" s="11" t="s">
        <v>727</v>
      </c>
      <c r="O261" s="18" t="s">
        <v>727</v>
      </c>
      <c r="P261" s="35">
        <f t="shared" si="9"/>
        <v>45680</v>
      </c>
      <c r="Q261" s="16" t="str">
        <f t="shared" si="10"/>
        <v>2025-01</v>
      </c>
      <c r="R261" s="50"/>
    </row>
    <row r="262" spans="1:18">
      <c r="A262" s="21" t="s">
        <v>184</v>
      </c>
      <c r="B262" s="19">
        <v>45934</v>
      </c>
      <c r="C262" s="16" t="s">
        <v>185</v>
      </c>
      <c r="D262" s="16" t="s">
        <v>34</v>
      </c>
      <c r="E262" s="16" t="s">
        <v>35</v>
      </c>
      <c r="F262" s="16" t="s">
        <v>36</v>
      </c>
      <c r="G262" s="16">
        <v>3</v>
      </c>
      <c r="H262" s="16">
        <v>96.62</v>
      </c>
      <c r="I262" s="16">
        <v>0.2</v>
      </c>
      <c r="J262" s="16">
        <v>231.89</v>
      </c>
      <c r="K262" s="16">
        <v>169.41</v>
      </c>
      <c r="L262" s="16">
        <v>62.48</v>
      </c>
      <c r="M262" s="16" t="s">
        <v>18</v>
      </c>
      <c r="N262" s="16" t="s">
        <v>727</v>
      </c>
      <c r="O262" s="17" t="s">
        <v>727</v>
      </c>
      <c r="P262" s="35">
        <f t="shared" si="9"/>
        <v>45934</v>
      </c>
      <c r="Q262" s="16" t="str">
        <f t="shared" si="10"/>
        <v>2025-10</v>
      </c>
      <c r="R262" s="50"/>
    </row>
    <row r="263" spans="1:18">
      <c r="A263" s="20" t="s">
        <v>701</v>
      </c>
      <c r="B263" s="10">
        <v>45965</v>
      </c>
      <c r="C263" s="11" t="s">
        <v>120</v>
      </c>
      <c r="D263" s="11" t="s">
        <v>15</v>
      </c>
      <c r="E263" s="11" t="s">
        <v>16</v>
      </c>
      <c r="F263" s="11" t="s">
        <v>23</v>
      </c>
      <c r="G263" s="11">
        <v>4</v>
      </c>
      <c r="H263" s="11">
        <v>68.27</v>
      </c>
      <c r="I263" s="11">
        <v>0.15</v>
      </c>
      <c r="J263" s="11">
        <v>232.12</v>
      </c>
      <c r="K263" s="11">
        <v>151.33000000000001</v>
      </c>
      <c r="L263" s="11">
        <v>80.790000000000006</v>
      </c>
      <c r="M263" s="11" t="s">
        <v>31</v>
      </c>
      <c r="N263" s="11" t="s">
        <v>727</v>
      </c>
      <c r="O263" s="18" t="s">
        <v>727</v>
      </c>
      <c r="P263" s="35">
        <f t="shared" si="9"/>
        <v>45965</v>
      </c>
      <c r="Q263" s="16" t="str">
        <f t="shared" si="10"/>
        <v>2025-11</v>
      </c>
      <c r="R263" s="50"/>
    </row>
    <row r="264" spans="1:18">
      <c r="A264" s="21" t="s">
        <v>175</v>
      </c>
      <c r="B264" s="19">
        <v>45998</v>
      </c>
      <c r="C264" s="16" t="s">
        <v>176</v>
      </c>
      <c r="D264" s="16" t="s">
        <v>110</v>
      </c>
      <c r="E264" s="16" t="s">
        <v>35</v>
      </c>
      <c r="F264" s="16" t="s">
        <v>36</v>
      </c>
      <c r="G264" s="16">
        <v>3</v>
      </c>
      <c r="H264" s="16">
        <v>77.400000000000006</v>
      </c>
      <c r="I264" s="16">
        <v>0</v>
      </c>
      <c r="J264" s="16">
        <v>232.2</v>
      </c>
      <c r="K264" s="16">
        <v>129.72</v>
      </c>
      <c r="L264" s="16">
        <v>102.48</v>
      </c>
      <c r="M264" s="16" t="s">
        <v>31</v>
      </c>
      <c r="N264" s="16" t="s">
        <v>727</v>
      </c>
      <c r="O264" s="17" t="s">
        <v>727</v>
      </c>
      <c r="P264" s="35">
        <f t="shared" si="9"/>
        <v>45998</v>
      </c>
      <c r="Q264" s="16" t="str">
        <f t="shared" si="10"/>
        <v>2025-12</v>
      </c>
      <c r="R264" s="50"/>
    </row>
    <row r="265" spans="1:18">
      <c r="A265" s="20" t="s">
        <v>49</v>
      </c>
      <c r="B265" s="10">
        <v>45946</v>
      </c>
      <c r="C265" s="11" t="s">
        <v>50</v>
      </c>
      <c r="D265" s="11" t="s">
        <v>21</v>
      </c>
      <c r="E265" s="11" t="s">
        <v>22</v>
      </c>
      <c r="F265" s="11" t="s">
        <v>30</v>
      </c>
      <c r="G265" s="11">
        <v>4</v>
      </c>
      <c r="H265" s="11">
        <v>58.48</v>
      </c>
      <c r="I265" s="11">
        <v>0</v>
      </c>
      <c r="J265" s="11">
        <v>233.92</v>
      </c>
      <c r="K265" s="11">
        <v>142.61000000000001</v>
      </c>
      <c r="L265" s="11">
        <v>91.31</v>
      </c>
      <c r="M265" s="11" t="s">
        <v>18</v>
      </c>
      <c r="N265" s="11" t="s">
        <v>727</v>
      </c>
      <c r="O265" s="18" t="s">
        <v>727</v>
      </c>
      <c r="P265" s="35">
        <f t="shared" si="9"/>
        <v>45946</v>
      </c>
      <c r="Q265" s="16" t="str">
        <f t="shared" si="10"/>
        <v>2025-10</v>
      </c>
      <c r="R265" s="50"/>
    </row>
    <row r="266" spans="1:18">
      <c r="A266" s="21" t="s">
        <v>508</v>
      </c>
      <c r="B266" s="19">
        <v>45833</v>
      </c>
      <c r="C266" s="16" t="s">
        <v>509</v>
      </c>
      <c r="D266" s="16" t="s">
        <v>139</v>
      </c>
      <c r="E266" s="16" t="s">
        <v>16</v>
      </c>
      <c r="F266" s="16" t="s">
        <v>23</v>
      </c>
      <c r="G266" s="16">
        <v>3</v>
      </c>
      <c r="H266" s="16">
        <v>78.459999999999994</v>
      </c>
      <c r="I266" s="16">
        <v>0</v>
      </c>
      <c r="J266" s="16">
        <v>235.38</v>
      </c>
      <c r="K266" s="16">
        <v>177.27</v>
      </c>
      <c r="L266" s="16">
        <v>58.11</v>
      </c>
      <c r="M266" s="16" t="s">
        <v>31</v>
      </c>
      <c r="N266" s="16" t="s">
        <v>727</v>
      </c>
      <c r="O266" s="17" t="s">
        <v>727</v>
      </c>
      <c r="P266" s="35">
        <f t="shared" si="9"/>
        <v>45833</v>
      </c>
      <c r="Q266" s="16" t="str">
        <f t="shared" si="10"/>
        <v>2025-06</v>
      </c>
      <c r="R266" s="50"/>
    </row>
    <row r="267" spans="1:18">
      <c r="A267" s="20" t="s">
        <v>558</v>
      </c>
      <c r="B267" s="10">
        <v>45875</v>
      </c>
      <c r="C267" s="11" t="s">
        <v>307</v>
      </c>
      <c r="D267" s="11" t="s">
        <v>45</v>
      </c>
      <c r="E267" s="11" t="s">
        <v>22</v>
      </c>
      <c r="F267" s="11" t="s">
        <v>36</v>
      </c>
      <c r="G267" s="11">
        <v>5</v>
      </c>
      <c r="H267" s="11">
        <v>47.26</v>
      </c>
      <c r="I267" s="11">
        <v>0</v>
      </c>
      <c r="J267" s="11">
        <v>236.3</v>
      </c>
      <c r="K267" s="11">
        <v>164.28</v>
      </c>
      <c r="L267" s="11">
        <v>72.02</v>
      </c>
      <c r="M267" s="11" t="s">
        <v>24</v>
      </c>
      <c r="N267" s="11" t="s">
        <v>727</v>
      </c>
      <c r="O267" s="18" t="s">
        <v>727</v>
      </c>
      <c r="P267" s="35">
        <f t="shared" si="9"/>
        <v>45875</v>
      </c>
      <c r="Q267" s="16" t="str">
        <f t="shared" si="10"/>
        <v>2025-08</v>
      </c>
      <c r="R267" s="50"/>
    </row>
    <row r="268" spans="1:18">
      <c r="A268" s="21" t="s">
        <v>387</v>
      </c>
      <c r="B268" s="19">
        <v>45915</v>
      </c>
      <c r="C268" s="16" t="s">
        <v>14</v>
      </c>
      <c r="D268" s="16" t="s">
        <v>105</v>
      </c>
      <c r="E268" s="16" t="s">
        <v>42</v>
      </c>
      <c r="F268" s="16" t="s">
        <v>17</v>
      </c>
      <c r="G268" s="16">
        <v>4</v>
      </c>
      <c r="H268" s="16">
        <v>60.14</v>
      </c>
      <c r="I268" s="16">
        <v>0</v>
      </c>
      <c r="J268" s="16">
        <v>240.56</v>
      </c>
      <c r="K268" s="16">
        <v>158.30000000000001</v>
      </c>
      <c r="L268" s="16">
        <v>82.26</v>
      </c>
      <c r="M268" s="16" t="s">
        <v>31</v>
      </c>
      <c r="N268" s="16" t="s">
        <v>727</v>
      </c>
      <c r="O268" s="17" t="s">
        <v>727</v>
      </c>
      <c r="P268" s="35">
        <f t="shared" si="9"/>
        <v>45915</v>
      </c>
      <c r="Q268" s="16" t="str">
        <f t="shared" si="10"/>
        <v>2025-09</v>
      </c>
      <c r="R268" s="50"/>
    </row>
    <row r="269" spans="1:18">
      <c r="A269" s="20" t="s">
        <v>492</v>
      </c>
      <c r="B269" s="10">
        <v>45706</v>
      </c>
      <c r="C269" s="11" t="s">
        <v>187</v>
      </c>
      <c r="D269" s="11" t="s">
        <v>15</v>
      </c>
      <c r="E269" s="11" t="s">
        <v>16</v>
      </c>
      <c r="F269" s="11" t="s">
        <v>30</v>
      </c>
      <c r="G269" s="11">
        <v>3</v>
      </c>
      <c r="H269" s="11">
        <v>84.96</v>
      </c>
      <c r="I269" s="11">
        <v>0.05</v>
      </c>
      <c r="J269" s="11">
        <v>242.14</v>
      </c>
      <c r="K269" s="11">
        <v>176.1</v>
      </c>
      <c r="L269" s="11">
        <v>66.040000000000006</v>
      </c>
      <c r="M269" s="11" t="s">
        <v>31</v>
      </c>
      <c r="N269" s="11" t="s">
        <v>727</v>
      </c>
      <c r="O269" s="18" t="s">
        <v>727</v>
      </c>
      <c r="P269" s="35">
        <f t="shared" si="9"/>
        <v>45706</v>
      </c>
      <c r="Q269" s="16" t="str">
        <f t="shared" si="10"/>
        <v>2025-02</v>
      </c>
      <c r="R269" s="50"/>
    </row>
    <row r="270" spans="1:18">
      <c r="A270" s="21" t="s">
        <v>568</v>
      </c>
      <c r="B270" s="19">
        <v>45904</v>
      </c>
      <c r="C270" s="16" t="s">
        <v>114</v>
      </c>
      <c r="D270" s="16" t="s">
        <v>88</v>
      </c>
      <c r="E270" s="16" t="s">
        <v>16</v>
      </c>
      <c r="F270" s="16" t="s">
        <v>30</v>
      </c>
      <c r="G270" s="16">
        <v>2</v>
      </c>
      <c r="H270" s="16">
        <v>128.11000000000001</v>
      </c>
      <c r="I270" s="16">
        <v>0.05</v>
      </c>
      <c r="J270" s="16">
        <v>243.41</v>
      </c>
      <c r="K270" s="16">
        <v>203.46</v>
      </c>
      <c r="L270" s="16">
        <v>39.950000000000003</v>
      </c>
      <c r="M270" s="16" t="s">
        <v>18</v>
      </c>
      <c r="N270" s="16" t="s">
        <v>727</v>
      </c>
      <c r="O270" s="17" t="s">
        <v>727</v>
      </c>
      <c r="P270" s="35">
        <f t="shared" si="9"/>
        <v>45904</v>
      </c>
      <c r="Q270" s="16" t="str">
        <f t="shared" si="10"/>
        <v>2025-09</v>
      </c>
      <c r="R270" s="50"/>
    </row>
    <row r="271" spans="1:18">
      <c r="A271" s="20" t="s">
        <v>512</v>
      </c>
      <c r="B271" s="10">
        <v>45781</v>
      </c>
      <c r="C271" s="11" t="s">
        <v>55</v>
      </c>
      <c r="D271" s="11" t="s">
        <v>34</v>
      </c>
      <c r="E271" s="11" t="s">
        <v>35</v>
      </c>
      <c r="F271" s="11" t="s">
        <v>17</v>
      </c>
      <c r="G271" s="11">
        <v>5</v>
      </c>
      <c r="H271" s="11">
        <v>57.75</v>
      </c>
      <c r="I271" s="11">
        <v>0.15</v>
      </c>
      <c r="J271" s="11">
        <v>245.44</v>
      </c>
      <c r="K271" s="11">
        <v>143.54</v>
      </c>
      <c r="L271" s="11">
        <v>101.9</v>
      </c>
      <c r="M271" s="11" t="s">
        <v>18</v>
      </c>
      <c r="N271" s="11" t="s">
        <v>727</v>
      </c>
      <c r="O271" s="18" t="s">
        <v>727</v>
      </c>
      <c r="P271" s="35">
        <f t="shared" si="9"/>
        <v>45781</v>
      </c>
      <c r="Q271" s="16" t="str">
        <f t="shared" si="10"/>
        <v>2025-05</v>
      </c>
      <c r="R271" s="50"/>
    </row>
    <row r="272" spans="1:18">
      <c r="A272" s="21" t="s">
        <v>470</v>
      </c>
      <c r="B272" s="19">
        <v>45982</v>
      </c>
      <c r="C272" s="16" t="s">
        <v>385</v>
      </c>
      <c r="D272" s="16" t="s">
        <v>34</v>
      </c>
      <c r="E272" s="16" t="s">
        <v>35</v>
      </c>
      <c r="F272" s="16" t="s">
        <v>17</v>
      </c>
      <c r="G272" s="16">
        <v>2</v>
      </c>
      <c r="H272" s="16">
        <v>136.80000000000001</v>
      </c>
      <c r="I272" s="16">
        <v>0.1</v>
      </c>
      <c r="J272" s="16">
        <v>246.24</v>
      </c>
      <c r="K272" s="16">
        <v>181.3</v>
      </c>
      <c r="L272" s="16">
        <v>64.94</v>
      </c>
      <c r="M272" s="16" t="s">
        <v>18</v>
      </c>
      <c r="N272" s="16" t="s">
        <v>727</v>
      </c>
      <c r="O272" s="17" t="s">
        <v>727</v>
      </c>
      <c r="P272" s="35">
        <f t="shared" si="9"/>
        <v>45982</v>
      </c>
      <c r="Q272" s="16" t="str">
        <f t="shared" si="10"/>
        <v>2025-11</v>
      </c>
      <c r="R272" s="50"/>
    </row>
    <row r="273" spans="1:18">
      <c r="A273" s="20" t="s">
        <v>324</v>
      </c>
      <c r="B273" s="10">
        <v>45679</v>
      </c>
      <c r="C273" s="11" t="s">
        <v>234</v>
      </c>
      <c r="D273" s="11" t="s">
        <v>53</v>
      </c>
      <c r="E273" s="11" t="s">
        <v>42</v>
      </c>
      <c r="F273" s="11" t="s">
        <v>17</v>
      </c>
      <c r="G273" s="11">
        <v>3</v>
      </c>
      <c r="H273" s="11">
        <v>91.32</v>
      </c>
      <c r="I273" s="11">
        <v>0.1</v>
      </c>
      <c r="J273" s="11">
        <v>246.56</v>
      </c>
      <c r="K273" s="11">
        <v>176.51</v>
      </c>
      <c r="L273" s="11">
        <v>70.05</v>
      </c>
      <c r="M273" s="11" t="s">
        <v>18</v>
      </c>
      <c r="N273" s="11" t="s">
        <v>727</v>
      </c>
      <c r="O273" s="18" t="s">
        <v>727</v>
      </c>
      <c r="P273" s="35">
        <f t="shared" si="9"/>
        <v>45679</v>
      </c>
      <c r="Q273" s="16" t="str">
        <f t="shared" si="10"/>
        <v>2025-01</v>
      </c>
      <c r="R273" s="50"/>
    </row>
    <row r="274" spans="1:18">
      <c r="A274" s="21" t="s">
        <v>503</v>
      </c>
      <c r="B274" s="19">
        <v>45719</v>
      </c>
      <c r="C274" s="16" t="s">
        <v>98</v>
      </c>
      <c r="D274" s="16" t="s">
        <v>45</v>
      </c>
      <c r="E274" s="16" t="s">
        <v>22</v>
      </c>
      <c r="F274" s="16" t="s">
        <v>17</v>
      </c>
      <c r="G274" s="16">
        <v>3</v>
      </c>
      <c r="H274" s="16">
        <v>91.59</v>
      </c>
      <c r="I274" s="16">
        <v>0.1</v>
      </c>
      <c r="J274" s="16">
        <v>247.29</v>
      </c>
      <c r="K274" s="16">
        <v>139.25</v>
      </c>
      <c r="L274" s="16">
        <v>108.04</v>
      </c>
      <c r="M274" s="16" t="s">
        <v>31</v>
      </c>
      <c r="N274" s="16" t="s">
        <v>727</v>
      </c>
      <c r="O274" s="17" t="s">
        <v>727</v>
      </c>
      <c r="P274" s="35">
        <f t="shared" si="9"/>
        <v>45719</v>
      </c>
      <c r="Q274" s="16" t="str">
        <f t="shared" si="10"/>
        <v>2025-03</v>
      </c>
      <c r="R274" s="50"/>
    </row>
    <row r="275" spans="1:18">
      <c r="A275" s="20" t="s">
        <v>696</v>
      </c>
      <c r="B275" s="10">
        <v>45760</v>
      </c>
      <c r="C275" s="11" t="s">
        <v>342</v>
      </c>
      <c r="D275" s="11" t="s">
        <v>56</v>
      </c>
      <c r="E275" s="11" t="s">
        <v>16</v>
      </c>
      <c r="F275" s="11" t="s">
        <v>17</v>
      </c>
      <c r="G275" s="11">
        <v>4</v>
      </c>
      <c r="H275" s="11">
        <v>73.319999999999993</v>
      </c>
      <c r="I275" s="11">
        <v>0.15</v>
      </c>
      <c r="J275" s="11">
        <v>249.29</v>
      </c>
      <c r="K275" s="11">
        <v>166.43</v>
      </c>
      <c r="L275" s="11">
        <v>82.86</v>
      </c>
      <c r="M275" s="11" t="s">
        <v>18</v>
      </c>
      <c r="N275" s="11" t="s">
        <v>727</v>
      </c>
      <c r="O275" s="18" t="s">
        <v>727</v>
      </c>
      <c r="P275" s="35">
        <f t="shared" si="9"/>
        <v>45760</v>
      </c>
      <c r="Q275" s="16" t="str">
        <f t="shared" si="10"/>
        <v>2025-04</v>
      </c>
      <c r="R275" s="50"/>
    </row>
    <row r="276" spans="1:18">
      <c r="A276" s="21" t="s">
        <v>380</v>
      </c>
      <c r="B276" s="19">
        <v>45872</v>
      </c>
      <c r="C276" s="16" t="s">
        <v>379</v>
      </c>
      <c r="D276" s="16" t="s">
        <v>21</v>
      </c>
      <c r="E276" s="16" t="s">
        <v>22</v>
      </c>
      <c r="F276" s="16" t="s">
        <v>36</v>
      </c>
      <c r="G276" s="16">
        <v>2</v>
      </c>
      <c r="H276" s="16">
        <v>124.98</v>
      </c>
      <c r="I276" s="16">
        <v>0</v>
      </c>
      <c r="J276" s="16">
        <v>249.96</v>
      </c>
      <c r="K276" s="16">
        <v>171.74</v>
      </c>
      <c r="L276" s="16">
        <v>78.22</v>
      </c>
      <c r="M276" s="16" t="s">
        <v>18</v>
      </c>
      <c r="N276" s="16" t="s">
        <v>727</v>
      </c>
      <c r="O276" s="17" t="s">
        <v>727</v>
      </c>
      <c r="P276" s="35">
        <f t="shared" si="9"/>
        <v>45872</v>
      </c>
      <c r="Q276" s="16" t="str">
        <f t="shared" si="10"/>
        <v>2025-08</v>
      </c>
      <c r="R276" s="50"/>
    </row>
    <row r="277" spans="1:18">
      <c r="A277" s="20" t="s">
        <v>108</v>
      </c>
      <c r="B277" s="10">
        <v>45970</v>
      </c>
      <c r="C277" s="11" t="s">
        <v>109</v>
      </c>
      <c r="D277" s="11" t="s">
        <v>110</v>
      </c>
      <c r="E277" s="11" t="s">
        <v>35</v>
      </c>
      <c r="F277" s="11" t="s">
        <v>30</v>
      </c>
      <c r="G277" s="11">
        <v>2</v>
      </c>
      <c r="H277" s="11">
        <v>147.34</v>
      </c>
      <c r="I277" s="11">
        <v>0.15</v>
      </c>
      <c r="J277" s="11">
        <v>250.48</v>
      </c>
      <c r="K277" s="11">
        <v>206.39</v>
      </c>
      <c r="L277" s="11">
        <v>44.09</v>
      </c>
      <c r="M277" s="11" t="s">
        <v>18</v>
      </c>
      <c r="N277" s="11" t="s">
        <v>727</v>
      </c>
      <c r="O277" s="18" t="s">
        <v>727</v>
      </c>
      <c r="P277" s="35">
        <f t="shared" si="9"/>
        <v>45970</v>
      </c>
      <c r="Q277" s="16" t="str">
        <f t="shared" si="10"/>
        <v>2025-11</v>
      </c>
      <c r="R277" s="50"/>
    </row>
    <row r="278" spans="1:18">
      <c r="A278" s="21" t="s">
        <v>188</v>
      </c>
      <c r="B278" s="19">
        <v>45871</v>
      </c>
      <c r="C278" s="16" t="s">
        <v>189</v>
      </c>
      <c r="D278" s="16" t="s">
        <v>110</v>
      </c>
      <c r="E278" s="16" t="s">
        <v>35</v>
      </c>
      <c r="F278" s="16" t="s">
        <v>36</v>
      </c>
      <c r="G278" s="16">
        <v>2</v>
      </c>
      <c r="H278" s="16">
        <v>126.75</v>
      </c>
      <c r="I278" s="16">
        <v>0</v>
      </c>
      <c r="J278" s="16">
        <v>253.5</v>
      </c>
      <c r="K278" s="16">
        <v>200.22</v>
      </c>
      <c r="L278" s="16">
        <v>53.28</v>
      </c>
      <c r="M278" s="16" t="s">
        <v>18</v>
      </c>
      <c r="N278" s="16" t="s">
        <v>727</v>
      </c>
      <c r="O278" s="17" t="s">
        <v>727</v>
      </c>
      <c r="P278" s="35">
        <f t="shared" si="9"/>
        <v>45871</v>
      </c>
      <c r="Q278" s="16" t="str">
        <f t="shared" si="10"/>
        <v>2025-08</v>
      </c>
      <c r="R278" s="50"/>
    </row>
    <row r="279" spans="1:18">
      <c r="A279" s="20" t="s">
        <v>465</v>
      </c>
      <c r="B279" s="10">
        <v>45904</v>
      </c>
      <c r="C279" s="11" t="s">
        <v>138</v>
      </c>
      <c r="D279" s="11" t="s">
        <v>70</v>
      </c>
      <c r="E279" s="11" t="s">
        <v>35</v>
      </c>
      <c r="F279" s="11" t="s">
        <v>17</v>
      </c>
      <c r="G279" s="11">
        <v>5</v>
      </c>
      <c r="H279" s="11">
        <v>63.56</v>
      </c>
      <c r="I279" s="11">
        <v>0.2</v>
      </c>
      <c r="J279" s="11">
        <v>254.24</v>
      </c>
      <c r="K279" s="11">
        <v>214.56</v>
      </c>
      <c r="L279" s="11">
        <v>39.68</v>
      </c>
      <c r="M279" s="11" t="s">
        <v>18</v>
      </c>
      <c r="N279" s="11" t="s">
        <v>727</v>
      </c>
      <c r="O279" s="18" t="s">
        <v>727</v>
      </c>
      <c r="P279" s="35">
        <f t="shared" si="9"/>
        <v>45904</v>
      </c>
      <c r="Q279" s="16" t="str">
        <f t="shared" si="10"/>
        <v>2025-09</v>
      </c>
      <c r="R279" s="50"/>
    </row>
    <row r="280" spans="1:18">
      <c r="A280" s="21" t="s">
        <v>576</v>
      </c>
      <c r="B280" s="19">
        <v>45860</v>
      </c>
      <c r="C280" s="16" t="s">
        <v>161</v>
      </c>
      <c r="D280" s="16" t="s">
        <v>105</v>
      </c>
      <c r="E280" s="16" t="s">
        <v>42</v>
      </c>
      <c r="F280" s="16" t="s">
        <v>30</v>
      </c>
      <c r="G280" s="16">
        <v>2</v>
      </c>
      <c r="H280" s="16">
        <v>158.91</v>
      </c>
      <c r="I280" s="16">
        <v>0.2</v>
      </c>
      <c r="J280" s="16">
        <v>254.26</v>
      </c>
      <c r="K280" s="16">
        <v>141.94</v>
      </c>
      <c r="L280" s="16">
        <v>112.32</v>
      </c>
      <c r="M280" s="16" t="s">
        <v>18</v>
      </c>
      <c r="N280" s="16" t="s">
        <v>727</v>
      </c>
      <c r="O280" s="17" t="s">
        <v>727</v>
      </c>
      <c r="P280" s="35">
        <f t="shared" si="9"/>
        <v>45860</v>
      </c>
      <c r="Q280" s="16" t="str">
        <f t="shared" si="10"/>
        <v>2025-07</v>
      </c>
      <c r="R280" s="50"/>
    </row>
    <row r="281" spans="1:18">
      <c r="A281" s="20" t="s">
        <v>449</v>
      </c>
      <c r="B281" s="10">
        <v>45811</v>
      </c>
      <c r="C281" s="11" t="s">
        <v>118</v>
      </c>
      <c r="D281" s="11" t="s">
        <v>139</v>
      </c>
      <c r="E281" s="11" t="s">
        <v>16</v>
      </c>
      <c r="F281" s="11" t="s">
        <v>23</v>
      </c>
      <c r="G281" s="11">
        <v>2</v>
      </c>
      <c r="H281" s="11">
        <v>133.97999999999999</v>
      </c>
      <c r="I281" s="11">
        <v>0.05</v>
      </c>
      <c r="J281" s="11">
        <v>254.56</v>
      </c>
      <c r="K281" s="11">
        <v>149.78</v>
      </c>
      <c r="L281" s="11">
        <v>104.78</v>
      </c>
      <c r="M281" s="11" t="s">
        <v>31</v>
      </c>
      <c r="N281" s="11" t="s">
        <v>727</v>
      </c>
      <c r="O281" s="18" t="s">
        <v>727</v>
      </c>
      <c r="P281" s="35">
        <f t="shared" si="9"/>
        <v>45811</v>
      </c>
      <c r="Q281" s="16" t="str">
        <f t="shared" si="10"/>
        <v>2025-06</v>
      </c>
      <c r="R281" s="50"/>
    </row>
    <row r="282" spans="1:18">
      <c r="A282" s="21" t="s">
        <v>93</v>
      </c>
      <c r="B282" s="19">
        <v>45833</v>
      </c>
      <c r="C282" s="16" t="s">
        <v>94</v>
      </c>
      <c r="D282" s="16" t="s">
        <v>48</v>
      </c>
      <c r="E282" s="16" t="s">
        <v>35</v>
      </c>
      <c r="F282" s="16" t="s">
        <v>36</v>
      </c>
      <c r="G282" s="16">
        <v>4</v>
      </c>
      <c r="H282" s="16">
        <v>71.03</v>
      </c>
      <c r="I282" s="16">
        <v>0.1</v>
      </c>
      <c r="J282" s="16">
        <v>255.71</v>
      </c>
      <c r="K282" s="16">
        <v>195.95</v>
      </c>
      <c r="L282" s="16">
        <v>59.76</v>
      </c>
      <c r="M282" s="16" t="s">
        <v>18</v>
      </c>
      <c r="N282" s="16" t="s">
        <v>727</v>
      </c>
      <c r="O282" s="17" t="s">
        <v>727</v>
      </c>
      <c r="P282" s="35">
        <f t="shared" si="9"/>
        <v>45833</v>
      </c>
      <c r="Q282" s="16" t="str">
        <f t="shared" si="10"/>
        <v>2025-06</v>
      </c>
      <c r="R282" s="50"/>
    </row>
    <row r="283" spans="1:18">
      <c r="A283" s="20" t="s">
        <v>539</v>
      </c>
      <c r="B283" s="10">
        <v>46000</v>
      </c>
      <c r="C283" s="11" t="s">
        <v>540</v>
      </c>
      <c r="D283" s="11" t="s">
        <v>88</v>
      </c>
      <c r="E283" s="11" t="s">
        <v>16</v>
      </c>
      <c r="F283" s="11" t="s">
        <v>36</v>
      </c>
      <c r="G283" s="11">
        <v>2</v>
      </c>
      <c r="H283" s="11">
        <v>142.68</v>
      </c>
      <c r="I283" s="11">
        <v>0.1</v>
      </c>
      <c r="J283" s="11">
        <v>256.82</v>
      </c>
      <c r="K283" s="11">
        <v>186.98</v>
      </c>
      <c r="L283" s="11">
        <v>69.84</v>
      </c>
      <c r="M283" s="11" t="s">
        <v>18</v>
      </c>
      <c r="N283" s="11" t="s">
        <v>727</v>
      </c>
      <c r="O283" s="18" t="s">
        <v>727</v>
      </c>
      <c r="P283" s="35">
        <f t="shared" si="9"/>
        <v>46000</v>
      </c>
      <c r="Q283" s="16" t="str">
        <f t="shared" si="10"/>
        <v>2025-12</v>
      </c>
      <c r="R283" s="50"/>
    </row>
    <row r="284" spans="1:18">
      <c r="A284" s="21" t="s">
        <v>486</v>
      </c>
      <c r="B284" s="19">
        <v>45858</v>
      </c>
      <c r="C284" s="16" t="s">
        <v>476</v>
      </c>
      <c r="D284" s="16" t="s">
        <v>88</v>
      </c>
      <c r="E284" s="16" t="s">
        <v>16</v>
      </c>
      <c r="F284" s="16" t="s">
        <v>23</v>
      </c>
      <c r="G284" s="16">
        <v>5</v>
      </c>
      <c r="H284" s="16">
        <v>51.4</v>
      </c>
      <c r="I284" s="16">
        <v>0</v>
      </c>
      <c r="J284" s="16">
        <v>257</v>
      </c>
      <c r="K284" s="16">
        <v>179</v>
      </c>
      <c r="L284" s="16">
        <v>78</v>
      </c>
      <c r="M284" s="16" t="s">
        <v>31</v>
      </c>
      <c r="N284" s="16" t="s">
        <v>727</v>
      </c>
      <c r="O284" s="17" t="s">
        <v>727</v>
      </c>
      <c r="P284" s="35">
        <f t="shared" si="9"/>
        <v>45858</v>
      </c>
      <c r="Q284" s="16" t="str">
        <f t="shared" si="10"/>
        <v>2025-07</v>
      </c>
      <c r="R284" s="50"/>
    </row>
    <row r="285" spans="1:18">
      <c r="A285" s="20" t="s">
        <v>659</v>
      </c>
      <c r="B285" s="10">
        <v>46012</v>
      </c>
      <c r="C285" s="11" t="s">
        <v>359</v>
      </c>
      <c r="D285" s="11" t="s">
        <v>53</v>
      </c>
      <c r="E285" s="11" t="s">
        <v>42</v>
      </c>
      <c r="F285" s="11" t="s">
        <v>23</v>
      </c>
      <c r="G285" s="11">
        <v>2</v>
      </c>
      <c r="H285" s="11">
        <v>129.46</v>
      </c>
      <c r="I285" s="11">
        <v>0</v>
      </c>
      <c r="J285" s="11">
        <v>258.92</v>
      </c>
      <c r="K285" s="11">
        <v>152.71</v>
      </c>
      <c r="L285" s="11">
        <v>106.21</v>
      </c>
      <c r="M285" s="11" t="s">
        <v>18</v>
      </c>
      <c r="N285" s="11" t="s">
        <v>727</v>
      </c>
      <c r="O285" s="18" t="s">
        <v>727</v>
      </c>
      <c r="P285" s="35">
        <f t="shared" si="9"/>
        <v>46012</v>
      </c>
      <c r="Q285" s="16" t="str">
        <f t="shared" si="10"/>
        <v>2025-12</v>
      </c>
      <c r="R285" s="50"/>
    </row>
    <row r="286" spans="1:18">
      <c r="A286" s="21" t="s">
        <v>252</v>
      </c>
      <c r="B286" s="19">
        <v>46016</v>
      </c>
      <c r="C286" s="16" t="s">
        <v>253</v>
      </c>
      <c r="D286" s="16" t="s">
        <v>110</v>
      </c>
      <c r="E286" s="16" t="s">
        <v>35</v>
      </c>
      <c r="F286" s="16" t="s">
        <v>17</v>
      </c>
      <c r="G286" s="16">
        <v>3</v>
      </c>
      <c r="H286" s="16">
        <v>96.14</v>
      </c>
      <c r="I286" s="16">
        <v>0.1</v>
      </c>
      <c r="J286" s="16">
        <v>259.58</v>
      </c>
      <c r="K286" s="16">
        <v>197.19</v>
      </c>
      <c r="L286" s="16">
        <v>62.39</v>
      </c>
      <c r="M286" s="16" t="s">
        <v>18</v>
      </c>
      <c r="N286" s="16" t="s">
        <v>727</v>
      </c>
      <c r="O286" s="17" t="s">
        <v>727</v>
      </c>
      <c r="P286" s="35">
        <f t="shared" si="9"/>
        <v>46016</v>
      </c>
      <c r="Q286" s="16" t="str">
        <f t="shared" si="10"/>
        <v>2025-12</v>
      </c>
      <c r="R286" s="50"/>
    </row>
    <row r="287" spans="1:18">
      <c r="A287" s="20" t="s">
        <v>655</v>
      </c>
      <c r="B287" s="10">
        <v>45887</v>
      </c>
      <c r="C287" s="11" t="s">
        <v>90</v>
      </c>
      <c r="D287" s="11" t="s">
        <v>77</v>
      </c>
      <c r="E287" s="11" t="s">
        <v>22</v>
      </c>
      <c r="F287" s="11" t="s">
        <v>36</v>
      </c>
      <c r="G287" s="11">
        <v>3</v>
      </c>
      <c r="H287" s="11">
        <v>96.44</v>
      </c>
      <c r="I287" s="11">
        <v>0.1</v>
      </c>
      <c r="J287" s="11">
        <v>260.39</v>
      </c>
      <c r="K287" s="11">
        <v>177.31</v>
      </c>
      <c r="L287" s="11">
        <v>83.08</v>
      </c>
      <c r="M287" s="11" t="s">
        <v>31</v>
      </c>
      <c r="N287" s="11" t="s">
        <v>727</v>
      </c>
      <c r="O287" s="18" t="s">
        <v>727</v>
      </c>
      <c r="P287" s="35">
        <f t="shared" si="9"/>
        <v>45887</v>
      </c>
      <c r="Q287" s="16" t="str">
        <f t="shared" si="10"/>
        <v>2025-08</v>
      </c>
      <c r="R287" s="50"/>
    </row>
    <row r="288" spans="1:18">
      <c r="A288" s="21" t="s">
        <v>73</v>
      </c>
      <c r="B288" s="19">
        <v>45770</v>
      </c>
      <c r="C288" s="16" t="s">
        <v>74</v>
      </c>
      <c r="D288" s="16" t="s">
        <v>53</v>
      </c>
      <c r="E288" s="16" t="s">
        <v>42</v>
      </c>
      <c r="F288" s="16" t="s">
        <v>36</v>
      </c>
      <c r="G288" s="16">
        <v>2</v>
      </c>
      <c r="H288" s="16">
        <v>130.51</v>
      </c>
      <c r="I288" s="16">
        <v>0</v>
      </c>
      <c r="J288" s="16">
        <v>261.02</v>
      </c>
      <c r="K288" s="16">
        <v>221.69</v>
      </c>
      <c r="L288" s="16">
        <v>39.33</v>
      </c>
      <c r="M288" s="16" t="s">
        <v>18</v>
      </c>
      <c r="N288" s="16" t="s">
        <v>727</v>
      </c>
      <c r="O288" s="17" t="s">
        <v>727</v>
      </c>
      <c r="P288" s="35">
        <f t="shared" si="9"/>
        <v>45770</v>
      </c>
      <c r="Q288" s="16" t="str">
        <f t="shared" si="10"/>
        <v>2025-04</v>
      </c>
      <c r="R288" s="50"/>
    </row>
    <row r="289" spans="1:18">
      <c r="A289" s="20" t="s">
        <v>192</v>
      </c>
      <c r="B289" s="10">
        <v>45671</v>
      </c>
      <c r="C289" s="11" t="s">
        <v>189</v>
      </c>
      <c r="D289" s="11" t="s">
        <v>139</v>
      </c>
      <c r="E289" s="11" t="s">
        <v>16</v>
      </c>
      <c r="F289" s="11" t="s">
        <v>17</v>
      </c>
      <c r="G289" s="11">
        <v>2</v>
      </c>
      <c r="H289" s="11">
        <v>138.71</v>
      </c>
      <c r="I289" s="11">
        <v>0.05</v>
      </c>
      <c r="J289" s="11">
        <v>263.55</v>
      </c>
      <c r="K289" s="11">
        <v>201.92</v>
      </c>
      <c r="L289" s="11">
        <v>61.63</v>
      </c>
      <c r="M289" s="11" t="s">
        <v>18</v>
      </c>
      <c r="N289" s="11" t="s">
        <v>727</v>
      </c>
      <c r="O289" s="18" t="s">
        <v>727</v>
      </c>
      <c r="P289" s="35">
        <f t="shared" si="9"/>
        <v>45671</v>
      </c>
      <c r="Q289" s="16" t="str">
        <f t="shared" si="10"/>
        <v>2025-01</v>
      </c>
      <c r="R289" s="50"/>
    </row>
    <row r="290" spans="1:18">
      <c r="A290" s="21" t="s">
        <v>343</v>
      </c>
      <c r="B290" s="19">
        <v>45822</v>
      </c>
      <c r="C290" s="16" t="s">
        <v>98</v>
      </c>
      <c r="D290" s="16" t="s">
        <v>70</v>
      </c>
      <c r="E290" s="16" t="s">
        <v>35</v>
      </c>
      <c r="F290" s="16" t="s">
        <v>30</v>
      </c>
      <c r="G290" s="16">
        <v>4</v>
      </c>
      <c r="H290" s="16">
        <v>73.25</v>
      </c>
      <c r="I290" s="16">
        <v>0.1</v>
      </c>
      <c r="J290" s="16">
        <v>263.7</v>
      </c>
      <c r="K290" s="16">
        <v>173.26</v>
      </c>
      <c r="L290" s="16">
        <v>90.44</v>
      </c>
      <c r="M290" s="16" t="s">
        <v>24</v>
      </c>
      <c r="N290" s="16" t="s">
        <v>727</v>
      </c>
      <c r="O290" s="17" t="s">
        <v>727</v>
      </c>
      <c r="P290" s="35">
        <f t="shared" si="9"/>
        <v>45822</v>
      </c>
      <c r="Q290" s="16" t="str">
        <f t="shared" si="10"/>
        <v>2025-06</v>
      </c>
      <c r="R290" s="50"/>
    </row>
    <row r="291" spans="1:18">
      <c r="A291" s="20" t="s">
        <v>466</v>
      </c>
      <c r="B291" s="10">
        <v>45884</v>
      </c>
      <c r="C291" s="11" t="s">
        <v>467</v>
      </c>
      <c r="D291" s="11" t="s">
        <v>70</v>
      </c>
      <c r="E291" s="11" t="s">
        <v>35</v>
      </c>
      <c r="F291" s="11" t="s">
        <v>23</v>
      </c>
      <c r="G291" s="11">
        <v>3</v>
      </c>
      <c r="H291" s="11">
        <v>98.71</v>
      </c>
      <c r="I291" s="11">
        <v>0.1</v>
      </c>
      <c r="J291" s="11">
        <v>266.52</v>
      </c>
      <c r="K291" s="11">
        <v>217.77</v>
      </c>
      <c r="L291" s="11">
        <v>48.75</v>
      </c>
      <c r="M291" s="11" t="s">
        <v>31</v>
      </c>
      <c r="N291" s="11" t="s">
        <v>727</v>
      </c>
      <c r="O291" s="18" t="s">
        <v>727</v>
      </c>
      <c r="P291" s="35">
        <f t="shared" si="9"/>
        <v>45884</v>
      </c>
      <c r="Q291" s="16" t="str">
        <f t="shared" si="10"/>
        <v>2025-08</v>
      </c>
      <c r="R291" s="50"/>
    </row>
    <row r="292" spans="1:18">
      <c r="A292" s="21" t="s">
        <v>257</v>
      </c>
      <c r="B292" s="19">
        <v>45925</v>
      </c>
      <c r="C292" s="16" t="s">
        <v>33</v>
      </c>
      <c r="D292" s="16" t="s">
        <v>41</v>
      </c>
      <c r="E292" s="16" t="s">
        <v>42</v>
      </c>
      <c r="F292" s="16" t="s">
        <v>17</v>
      </c>
      <c r="G292" s="16">
        <v>5</v>
      </c>
      <c r="H292" s="16">
        <v>53.35</v>
      </c>
      <c r="I292" s="16">
        <v>0</v>
      </c>
      <c r="J292" s="16">
        <v>266.75</v>
      </c>
      <c r="K292" s="16">
        <v>205.31</v>
      </c>
      <c r="L292" s="16">
        <v>61.44</v>
      </c>
      <c r="M292" s="16" t="s">
        <v>18</v>
      </c>
      <c r="N292" s="16" t="s">
        <v>727</v>
      </c>
      <c r="O292" s="17" t="s">
        <v>727</v>
      </c>
      <c r="P292" s="35">
        <f t="shared" si="9"/>
        <v>45925</v>
      </c>
      <c r="Q292" s="16" t="str">
        <f t="shared" si="10"/>
        <v>2025-09</v>
      </c>
      <c r="R292" s="50"/>
    </row>
    <row r="293" spans="1:18">
      <c r="A293" s="20" t="s">
        <v>584</v>
      </c>
      <c r="B293" s="10">
        <v>45975</v>
      </c>
      <c r="C293" s="11" t="s">
        <v>287</v>
      </c>
      <c r="D293" s="11" t="s">
        <v>34</v>
      </c>
      <c r="E293" s="11" t="s">
        <v>35</v>
      </c>
      <c r="F293" s="11" t="s">
        <v>30</v>
      </c>
      <c r="G293" s="11">
        <v>5</v>
      </c>
      <c r="H293" s="11">
        <v>56.59</v>
      </c>
      <c r="I293" s="11">
        <v>0.05</v>
      </c>
      <c r="J293" s="11">
        <v>268.8</v>
      </c>
      <c r="K293" s="11">
        <v>150.87</v>
      </c>
      <c r="L293" s="11">
        <v>117.93</v>
      </c>
      <c r="M293" s="11" t="s">
        <v>31</v>
      </c>
      <c r="N293" s="11" t="s">
        <v>727</v>
      </c>
      <c r="O293" s="18" t="s">
        <v>727</v>
      </c>
      <c r="P293" s="35">
        <f t="shared" si="9"/>
        <v>45975</v>
      </c>
      <c r="Q293" s="16" t="str">
        <f t="shared" si="10"/>
        <v>2025-11</v>
      </c>
      <c r="R293" s="50"/>
    </row>
    <row r="294" spans="1:18">
      <c r="A294" s="21" t="s">
        <v>626</v>
      </c>
      <c r="B294" s="19">
        <v>45693</v>
      </c>
      <c r="C294" s="16" t="s">
        <v>484</v>
      </c>
      <c r="D294" s="16" t="s">
        <v>34</v>
      </c>
      <c r="E294" s="16" t="s">
        <v>35</v>
      </c>
      <c r="F294" s="16" t="s">
        <v>36</v>
      </c>
      <c r="G294" s="16">
        <v>2</v>
      </c>
      <c r="H294" s="16">
        <v>150.51</v>
      </c>
      <c r="I294" s="16">
        <v>0.1</v>
      </c>
      <c r="J294" s="16">
        <v>270.92</v>
      </c>
      <c r="K294" s="16">
        <v>174.02</v>
      </c>
      <c r="L294" s="16">
        <v>96.9</v>
      </c>
      <c r="M294" s="16" t="s">
        <v>31</v>
      </c>
      <c r="N294" s="16" t="s">
        <v>727</v>
      </c>
      <c r="O294" s="17" t="s">
        <v>727</v>
      </c>
      <c r="P294" s="35">
        <f t="shared" si="9"/>
        <v>45693</v>
      </c>
      <c r="Q294" s="16" t="str">
        <f t="shared" si="10"/>
        <v>2025-02</v>
      </c>
      <c r="R294" s="50"/>
    </row>
    <row r="295" spans="1:18">
      <c r="A295" s="20" t="s">
        <v>603</v>
      </c>
      <c r="B295" s="10">
        <v>45719</v>
      </c>
      <c r="C295" s="11" t="s">
        <v>427</v>
      </c>
      <c r="D295" s="11" t="s">
        <v>29</v>
      </c>
      <c r="E295" s="11" t="s">
        <v>22</v>
      </c>
      <c r="F295" s="11" t="s">
        <v>36</v>
      </c>
      <c r="G295" s="11">
        <v>5</v>
      </c>
      <c r="H295" s="11">
        <v>63.94</v>
      </c>
      <c r="I295" s="11">
        <v>0.15</v>
      </c>
      <c r="J295" s="11">
        <v>271.74</v>
      </c>
      <c r="K295" s="11">
        <v>224.03</v>
      </c>
      <c r="L295" s="11">
        <v>47.71</v>
      </c>
      <c r="M295" s="11" t="s">
        <v>18</v>
      </c>
      <c r="N295" s="11" t="s">
        <v>727</v>
      </c>
      <c r="O295" s="18" t="s">
        <v>727</v>
      </c>
      <c r="P295" s="35">
        <f t="shared" si="9"/>
        <v>45719</v>
      </c>
      <c r="Q295" s="16" t="str">
        <f t="shared" si="10"/>
        <v>2025-03</v>
      </c>
      <c r="R295" s="50"/>
    </row>
    <row r="296" spans="1:18">
      <c r="A296" s="21" t="s">
        <v>233</v>
      </c>
      <c r="B296" s="19">
        <v>45807</v>
      </c>
      <c r="C296" s="16" t="s">
        <v>234</v>
      </c>
      <c r="D296" s="16" t="s">
        <v>21</v>
      </c>
      <c r="E296" s="16" t="s">
        <v>22</v>
      </c>
      <c r="F296" s="16" t="s">
        <v>23</v>
      </c>
      <c r="G296" s="16">
        <v>4</v>
      </c>
      <c r="H296" s="16">
        <v>80.06</v>
      </c>
      <c r="I296" s="16">
        <v>0.15</v>
      </c>
      <c r="J296" s="16">
        <v>272.2</v>
      </c>
      <c r="K296" s="16">
        <v>179.3</v>
      </c>
      <c r="L296" s="16">
        <v>92.9</v>
      </c>
      <c r="M296" s="16" t="s">
        <v>18</v>
      </c>
      <c r="N296" s="16" t="s">
        <v>727</v>
      </c>
      <c r="O296" s="17" t="s">
        <v>727</v>
      </c>
      <c r="P296" s="35">
        <f t="shared" si="9"/>
        <v>45807</v>
      </c>
      <c r="Q296" s="16" t="str">
        <f t="shared" si="10"/>
        <v>2025-05</v>
      </c>
      <c r="R296" s="50"/>
    </row>
    <row r="297" spans="1:18">
      <c r="A297" s="20" t="s">
        <v>451</v>
      </c>
      <c r="B297" s="10">
        <v>45984</v>
      </c>
      <c r="C297" s="11" t="s">
        <v>63</v>
      </c>
      <c r="D297" s="11" t="s">
        <v>70</v>
      </c>
      <c r="E297" s="11" t="s">
        <v>35</v>
      </c>
      <c r="F297" s="11" t="s">
        <v>17</v>
      </c>
      <c r="G297" s="11">
        <v>4</v>
      </c>
      <c r="H297" s="11">
        <v>68.12</v>
      </c>
      <c r="I297" s="11">
        <v>0</v>
      </c>
      <c r="J297" s="11">
        <v>272.48</v>
      </c>
      <c r="K297" s="11">
        <v>162.22999999999999</v>
      </c>
      <c r="L297" s="11">
        <v>110.25</v>
      </c>
      <c r="M297" s="11" t="s">
        <v>24</v>
      </c>
      <c r="N297" s="11" t="s">
        <v>727</v>
      </c>
      <c r="O297" s="18" t="s">
        <v>727</v>
      </c>
      <c r="P297" s="35">
        <f t="shared" si="9"/>
        <v>45984</v>
      </c>
      <c r="Q297" s="16" t="str">
        <f t="shared" si="10"/>
        <v>2025-11</v>
      </c>
      <c r="R297" s="50"/>
    </row>
    <row r="298" spans="1:18">
      <c r="A298" s="21" t="s">
        <v>596</v>
      </c>
      <c r="B298" s="19">
        <v>45804</v>
      </c>
      <c r="C298" s="16" t="s">
        <v>266</v>
      </c>
      <c r="D298" s="16" t="s">
        <v>70</v>
      </c>
      <c r="E298" s="16" t="s">
        <v>35</v>
      </c>
      <c r="F298" s="16" t="s">
        <v>17</v>
      </c>
      <c r="G298" s="16">
        <v>3</v>
      </c>
      <c r="H298" s="16">
        <v>90.95</v>
      </c>
      <c r="I298" s="16">
        <v>0</v>
      </c>
      <c r="J298" s="16">
        <v>272.85000000000002</v>
      </c>
      <c r="K298" s="16">
        <v>228.77</v>
      </c>
      <c r="L298" s="16">
        <v>44.08</v>
      </c>
      <c r="M298" s="16" t="s">
        <v>18</v>
      </c>
      <c r="N298" s="16" t="s">
        <v>727</v>
      </c>
      <c r="O298" s="17" t="s">
        <v>727</v>
      </c>
      <c r="P298" s="35">
        <f t="shared" si="9"/>
        <v>45804</v>
      </c>
      <c r="Q298" s="16" t="str">
        <f t="shared" si="10"/>
        <v>2025-05</v>
      </c>
      <c r="R298" s="50"/>
    </row>
    <row r="299" spans="1:18">
      <c r="A299" s="20" t="s">
        <v>197</v>
      </c>
      <c r="B299" s="10">
        <v>45768</v>
      </c>
      <c r="C299" s="11" t="s">
        <v>114</v>
      </c>
      <c r="D299" s="11" t="s">
        <v>48</v>
      </c>
      <c r="E299" s="11" t="s">
        <v>35</v>
      </c>
      <c r="F299" s="11" t="s">
        <v>23</v>
      </c>
      <c r="G299" s="11">
        <v>2</v>
      </c>
      <c r="H299" s="11">
        <v>143.74</v>
      </c>
      <c r="I299" s="11">
        <v>0.05</v>
      </c>
      <c r="J299" s="11">
        <v>273.11</v>
      </c>
      <c r="K299" s="11">
        <v>157.33000000000001</v>
      </c>
      <c r="L299" s="11">
        <v>115.78</v>
      </c>
      <c r="M299" s="11" t="s">
        <v>18</v>
      </c>
      <c r="N299" s="11" t="s">
        <v>727</v>
      </c>
      <c r="O299" s="18" t="s">
        <v>727</v>
      </c>
      <c r="P299" s="35">
        <f t="shared" si="9"/>
        <v>45768</v>
      </c>
      <c r="Q299" s="16" t="str">
        <f t="shared" si="10"/>
        <v>2025-04</v>
      </c>
      <c r="R299" s="50"/>
    </row>
    <row r="300" spans="1:18">
      <c r="A300" s="21" t="s">
        <v>32</v>
      </c>
      <c r="B300" s="19">
        <v>46003</v>
      </c>
      <c r="C300" s="16" t="s">
        <v>33</v>
      </c>
      <c r="D300" s="16" t="s">
        <v>34</v>
      </c>
      <c r="E300" s="16" t="s">
        <v>35</v>
      </c>
      <c r="F300" s="16" t="s">
        <v>36</v>
      </c>
      <c r="G300" s="16">
        <v>2</v>
      </c>
      <c r="H300" s="16">
        <v>171.21</v>
      </c>
      <c r="I300" s="16">
        <v>0.2</v>
      </c>
      <c r="J300" s="16">
        <v>273.94</v>
      </c>
      <c r="K300" s="16">
        <v>217.1</v>
      </c>
      <c r="L300" s="16">
        <v>56.84</v>
      </c>
      <c r="M300" s="16" t="s">
        <v>18</v>
      </c>
      <c r="N300" s="16" t="s">
        <v>727</v>
      </c>
      <c r="O300" s="17" t="s">
        <v>727</v>
      </c>
      <c r="P300" s="35">
        <f t="shared" si="9"/>
        <v>46003</v>
      </c>
      <c r="Q300" s="16" t="str">
        <f t="shared" si="10"/>
        <v>2025-12</v>
      </c>
      <c r="R300" s="50"/>
    </row>
    <row r="301" spans="1:18">
      <c r="A301" s="20" t="s">
        <v>707</v>
      </c>
      <c r="B301" s="10">
        <v>45903</v>
      </c>
      <c r="C301" s="11" t="s">
        <v>214</v>
      </c>
      <c r="D301" s="11" t="s">
        <v>53</v>
      </c>
      <c r="E301" s="11" t="s">
        <v>42</v>
      </c>
      <c r="F301" s="11" t="s">
        <v>36</v>
      </c>
      <c r="G301" s="11">
        <v>2</v>
      </c>
      <c r="H301" s="11">
        <v>162.04</v>
      </c>
      <c r="I301" s="11">
        <v>0.15</v>
      </c>
      <c r="J301" s="11">
        <v>275.47000000000003</v>
      </c>
      <c r="K301" s="11">
        <v>177.45</v>
      </c>
      <c r="L301" s="11">
        <v>98.02</v>
      </c>
      <c r="M301" s="11" t="s">
        <v>18</v>
      </c>
      <c r="N301" s="11" t="s">
        <v>727</v>
      </c>
      <c r="O301" s="18" t="s">
        <v>727</v>
      </c>
      <c r="P301" s="35">
        <f t="shared" si="9"/>
        <v>45903</v>
      </c>
      <c r="Q301" s="16" t="str">
        <f t="shared" si="10"/>
        <v>2025-09</v>
      </c>
      <c r="R301" s="50"/>
    </row>
    <row r="302" spans="1:18">
      <c r="A302" s="21" t="s">
        <v>560</v>
      </c>
      <c r="B302" s="19">
        <v>45924</v>
      </c>
      <c r="C302" s="16" t="s">
        <v>38</v>
      </c>
      <c r="D302" s="16" t="s">
        <v>61</v>
      </c>
      <c r="E302" s="16" t="s">
        <v>42</v>
      </c>
      <c r="F302" s="16" t="s">
        <v>23</v>
      </c>
      <c r="G302" s="16">
        <v>2</v>
      </c>
      <c r="H302" s="16">
        <v>162.12</v>
      </c>
      <c r="I302" s="16">
        <v>0.15</v>
      </c>
      <c r="J302" s="16">
        <v>275.60000000000002</v>
      </c>
      <c r="K302" s="16">
        <v>177.64</v>
      </c>
      <c r="L302" s="16">
        <v>97.96</v>
      </c>
      <c r="M302" s="16" t="s">
        <v>18</v>
      </c>
      <c r="N302" s="16" t="s">
        <v>727</v>
      </c>
      <c r="O302" s="17" t="s">
        <v>727</v>
      </c>
      <c r="P302" s="35">
        <f t="shared" si="9"/>
        <v>45924</v>
      </c>
      <c r="Q302" s="16" t="str">
        <f t="shared" si="10"/>
        <v>2025-09</v>
      </c>
      <c r="R302" s="50"/>
    </row>
    <row r="303" spans="1:18">
      <c r="A303" s="20" t="s">
        <v>645</v>
      </c>
      <c r="B303" s="10">
        <v>45686</v>
      </c>
      <c r="C303" s="11" t="s">
        <v>297</v>
      </c>
      <c r="D303" s="11" t="s">
        <v>21</v>
      </c>
      <c r="E303" s="11" t="s">
        <v>22</v>
      </c>
      <c r="F303" s="11" t="s">
        <v>17</v>
      </c>
      <c r="G303" s="11">
        <v>2</v>
      </c>
      <c r="H303" s="11">
        <v>138.46</v>
      </c>
      <c r="I303" s="11">
        <v>0</v>
      </c>
      <c r="J303" s="11">
        <v>276.92</v>
      </c>
      <c r="K303" s="11">
        <v>169.52</v>
      </c>
      <c r="L303" s="11">
        <v>107.4</v>
      </c>
      <c r="M303" s="11" t="s">
        <v>24</v>
      </c>
      <c r="N303" s="11" t="s">
        <v>727</v>
      </c>
      <c r="O303" s="18" t="s">
        <v>727</v>
      </c>
      <c r="P303" s="35">
        <f t="shared" si="9"/>
        <v>45686</v>
      </c>
      <c r="Q303" s="16" t="str">
        <f t="shared" si="10"/>
        <v>2025-01</v>
      </c>
      <c r="R303" s="50"/>
    </row>
    <row r="304" spans="1:18">
      <c r="A304" s="21" t="s">
        <v>181</v>
      </c>
      <c r="B304" s="19">
        <v>45783</v>
      </c>
      <c r="C304" s="16" t="s">
        <v>182</v>
      </c>
      <c r="D304" s="16" t="s">
        <v>48</v>
      </c>
      <c r="E304" s="16" t="s">
        <v>35</v>
      </c>
      <c r="F304" s="16" t="s">
        <v>23</v>
      </c>
      <c r="G304" s="16">
        <v>4</v>
      </c>
      <c r="H304" s="16">
        <v>86.97</v>
      </c>
      <c r="I304" s="16">
        <v>0.2</v>
      </c>
      <c r="J304" s="16">
        <v>278.3</v>
      </c>
      <c r="K304" s="16">
        <v>194.19</v>
      </c>
      <c r="L304" s="16">
        <v>84.11</v>
      </c>
      <c r="M304" s="16" t="s">
        <v>31</v>
      </c>
      <c r="N304" s="16" t="s">
        <v>727</v>
      </c>
      <c r="O304" s="17" t="s">
        <v>727</v>
      </c>
      <c r="P304" s="35">
        <f t="shared" si="9"/>
        <v>45783</v>
      </c>
      <c r="Q304" s="16" t="str">
        <f t="shared" si="10"/>
        <v>2025-05</v>
      </c>
      <c r="R304" s="50"/>
    </row>
    <row r="305" spans="1:18">
      <c r="A305" s="20" t="s">
        <v>617</v>
      </c>
      <c r="B305" s="10">
        <v>46015</v>
      </c>
      <c r="C305" s="11" t="s">
        <v>618</v>
      </c>
      <c r="D305" s="11" t="s">
        <v>41</v>
      </c>
      <c r="E305" s="11" t="s">
        <v>42</v>
      </c>
      <c r="F305" s="11" t="s">
        <v>17</v>
      </c>
      <c r="G305" s="11">
        <v>3</v>
      </c>
      <c r="H305" s="11">
        <v>92.88</v>
      </c>
      <c r="I305" s="11">
        <v>0</v>
      </c>
      <c r="J305" s="11">
        <v>278.64</v>
      </c>
      <c r="K305" s="11">
        <v>219.02</v>
      </c>
      <c r="L305" s="11">
        <v>59.62</v>
      </c>
      <c r="M305" s="11" t="s">
        <v>18</v>
      </c>
      <c r="N305" s="11" t="s">
        <v>727</v>
      </c>
      <c r="O305" s="18" t="s">
        <v>727</v>
      </c>
      <c r="P305" s="35">
        <f t="shared" si="9"/>
        <v>46015</v>
      </c>
      <c r="Q305" s="16" t="str">
        <f t="shared" si="10"/>
        <v>2025-12</v>
      </c>
      <c r="R305" s="50"/>
    </row>
    <row r="306" spans="1:18">
      <c r="A306" s="21" t="s">
        <v>251</v>
      </c>
      <c r="B306" s="19">
        <v>45872</v>
      </c>
      <c r="C306" s="16" t="s">
        <v>138</v>
      </c>
      <c r="D306" s="16" t="s">
        <v>15</v>
      </c>
      <c r="E306" s="16" t="s">
        <v>16</v>
      </c>
      <c r="F306" s="16" t="s">
        <v>23</v>
      </c>
      <c r="G306" s="16">
        <v>2</v>
      </c>
      <c r="H306" s="16">
        <v>139.34</v>
      </c>
      <c r="I306" s="16">
        <v>0</v>
      </c>
      <c r="J306" s="16">
        <v>278.68</v>
      </c>
      <c r="K306" s="16">
        <v>225.88</v>
      </c>
      <c r="L306" s="16">
        <v>52.8</v>
      </c>
      <c r="M306" s="16" t="s">
        <v>18</v>
      </c>
      <c r="N306" s="16" t="s">
        <v>727</v>
      </c>
      <c r="O306" s="17" t="s">
        <v>727</v>
      </c>
      <c r="P306" s="35">
        <f t="shared" si="9"/>
        <v>45872</v>
      </c>
      <c r="Q306" s="16" t="str">
        <f t="shared" si="10"/>
        <v>2025-08</v>
      </c>
      <c r="R306" s="50"/>
    </row>
    <row r="307" spans="1:18">
      <c r="A307" s="20" t="s">
        <v>341</v>
      </c>
      <c r="B307" s="10">
        <v>45921</v>
      </c>
      <c r="C307" s="11" t="s">
        <v>342</v>
      </c>
      <c r="D307" s="11" t="s">
        <v>77</v>
      </c>
      <c r="E307" s="11" t="s">
        <v>22</v>
      </c>
      <c r="F307" s="11" t="s">
        <v>23</v>
      </c>
      <c r="G307" s="11">
        <v>5</v>
      </c>
      <c r="H307" s="11">
        <v>65.959999999999994</v>
      </c>
      <c r="I307" s="11">
        <v>0.15</v>
      </c>
      <c r="J307" s="11">
        <v>280.33</v>
      </c>
      <c r="K307" s="11">
        <v>190.42</v>
      </c>
      <c r="L307" s="11">
        <v>89.91</v>
      </c>
      <c r="M307" s="11" t="s">
        <v>24</v>
      </c>
      <c r="N307" s="11" t="s">
        <v>727</v>
      </c>
      <c r="O307" s="18" t="s">
        <v>727</v>
      </c>
      <c r="P307" s="35">
        <f t="shared" si="9"/>
        <v>45921</v>
      </c>
      <c r="Q307" s="16" t="str">
        <f t="shared" si="10"/>
        <v>2025-09</v>
      </c>
      <c r="R307" s="50"/>
    </row>
    <row r="308" spans="1:18">
      <c r="A308" s="21" t="s">
        <v>498</v>
      </c>
      <c r="B308" s="19">
        <v>45896</v>
      </c>
      <c r="C308" s="16" t="s">
        <v>472</v>
      </c>
      <c r="D308" s="16" t="s">
        <v>41</v>
      </c>
      <c r="E308" s="16" t="s">
        <v>42</v>
      </c>
      <c r="F308" s="16" t="s">
        <v>23</v>
      </c>
      <c r="G308" s="16">
        <v>4</v>
      </c>
      <c r="H308" s="16">
        <v>74.02</v>
      </c>
      <c r="I308" s="16">
        <v>0.05</v>
      </c>
      <c r="J308" s="16">
        <v>281.27999999999997</v>
      </c>
      <c r="K308" s="16">
        <v>185.85</v>
      </c>
      <c r="L308" s="16">
        <v>95.43</v>
      </c>
      <c r="M308" s="16" t="s">
        <v>18</v>
      </c>
      <c r="N308" s="16" t="s">
        <v>727</v>
      </c>
      <c r="O308" s="17" t="s">
        <v>727</v>
      </c>
      <c r="P308" s="35">
        <f t="shared" si="9"/>
        <v>45896</v>
      </c>
      <c r="Q308" s="16" t="str">
        <f t="shared" si="10"/>
        <v>2025-08</v>
      </c>
      <c r="R308" s="50"/>
    </row>
    <row r="309" spans="1:18">
      <c r="A309" s="20" t="s">
        <v>487</v>
      </c>
      <c r="B309" s="10">
        <v>45733</v>
      </c>
      <c r="C309" s="11" t="s">
        <v>444</v>
      </c>
      <c r="D309" s="11" t="s">
        <v>88</v>
      </c>
      <c r="E309" s="11" t="s">
        <v>16</v>
      </c>
      <c r="F309" s="11" t="s">
        <v>17</v>
      </c>
      <c r="G309" s="11">
        <v>2</v>
      </c>
      <c r="H309" s="11">
        <v>159.18</v>
      </c>
      <c r="I309" s="11">
        <v>0.1</v>
      </c>
      <c r="J309" s="11">
        <v>286.52</v>
      </c>
      <c r="K309" s="11">
        <v>202.06</v>
      </c>
      <c r="L309" s="11">
        <v>84.46</v>
      </c>
      <c r="M309" s="11" t="s">
        <v>24</v>
      </c>
      <c r="N309" s="11" t="s">
        <v>727</v>
      </c>
      <c r="O309" s="18" t="s">
        <v>727</v>
      </c>
      <c r="P309" s="35">
        <f t="shared" si="9"/>
        <v>45733</v>
      </c>
      <c r="Q309" s="16" t="str">
        <f t="shared" si="10"/>
        <v>2025-03</v>
      </c>
      <c r="R309" s="50"/>
    </row>
    <row r="310" spans="1:18">
      <c r="A310" s="21" t="s">
        <v>300</v>
      </c>
      <c r="B310" s="19">
        <v>45703</v>
      </c>
      <c r="C310" s="16" t="s">
        <v>218</v>
      </c>
      <c r="D310" s="16" t="s">
        <v>61</v>
      </c>
      <c r="E310" s="16" t="s">
        <v>42</v>
      </c>
      <c r="F310" s="16" t="s">
        <v>30</v>
      </c>
      <c r="G310" s="16">
        <v>2</v>
      </c>
      <c r="H310" s="16">
        <v>151.13</v>
      </c>
      <c r="I310" s="16">
        <v>0.05</v>
      </c>
      <c r="J310" s="16">
        <v>287.14999999999998</v>
      </c>
      <c r="K310" s="16">
        <v>158.47999999999999</v>
      </c>
      <c r="L310" s="16">
        <v>128.66999999999999</v>
      </c>
      <c r="M310" s="16" t="s">
        <v>31</v>
      </c>
      <c r="N310" s="16" t="s">
        <v>727</v>
      </c>
      <c r="O310" s="17" t="s">
        <v>727</v>
      </c>
      <c r="P310" s="35">
        <f t="shared" si="9"/>
        <v>45703</v>
      </c>
      <c r="Q310" s="16" t="str">
        <f t="shared" si="10"/>
        <v>2025-02</v>
      </c>
      <c r="R310" s="50"/>
    </row>
    <row r="311" spans="1:18">
      <c r="A311" s="20" t="s">
        <v>406</v>
      </c>
      <c r="B311" s="10">
        <v>45965</v>
      </c>
      <c r="C311" s="11" t="s">
        <v>159</v>
      </c>
      <c r="D311" s="11" t="s">
        <v>48</v>
      </c>
      <c r="E311" s="11" t="s">
        <v>35</v>
      </c>
      <c r="F311" s="11" t="s">
        <v>36</v>
      </c>
      <c r="G311" s="11">
        <v>4</v>
      </c>
      <c r="H311" s="11">
        <v>71.88</v>
      </c>
      <c r="I311" s="11">
        <v>0</v>
      </c>
      <c r="J311" s="11">
        <v>287.52</v>
      </c>
      <c r="K311" s="11">
        <v>213.87</v>
      </c>
      <c r="L311" s="11">
        <v>73.650000000000006</v>
      </c>
      <c r="M311" s="11" t="s">
        <v>31</v>
      </c>
      <c r="N311" s="11" t="s">
        <v>727</v>
      </c>
      <c r="O311" s="18" t="s">
        <v>727</v>
      </c>
      <c r="P311" s="35">
        <f t="shared" si="9"/>
        <v>45965</v>
      </c>
      <c r="Q311" s="16" t="str">
        <f t="shared" si="10"/>
        <v>2025-11</v>
      </c>
      <c r="R311" s="50"/>
    </row>
    <row r="312" spans="1:18">
      <c r="A312" s="21" t="s">
        <v>293</v>
      </c>
      <c r="B312" s="19">
        <v>45694</v>
      </c>
      <c r="C312" s="16" t="s">
        <v>294</v>
      </c>
      <c r="D312" s="16" t="s">
        <v>61</v>
      </c>
      <c r="E312" s="16" t="s">
        <v>42</v>
      </c>
      <c r="F312" s="16" t="s">
        <v>23</v>
      </c>
      <c r="G312" s="16">
        <v>4</v>
      </c>
      <c r="H312" s="16">
        <v>72.099999999999994</v>
      </c>
      <c r="I312" s="16">
        <v>0</v>
      </c>
      <c r="J312" s="16">
        <v>288.39999999999998</v>
      </c>
      <c r="K312" s="16">
        <v>221.21</v>
      </c>
      <c r="L312" s="16">
        <v>67.19</v>
      </c>
      <c r="M312" s="16" t="s">
        <v>18</v>
      </c>
      <c r="N312" s="16" t="s">
        <v>727</v>
      </c>
      <c r="O312" s="17" t="s">
        <v>727</v>
      </c>
      <c r="P312" s="35">
        <f t="shared" si="9"/>
        <v>45694</v>
      </c>
      <c r="Q312" s="16" t="str">
        <f t="shared" si="10"/>
        <v>2025-02</v>
      </c>
      <c r="R312" s="50"/>
    </row>
    <row r="313" spans="1:18">
      <c r="A313" s="20" t="s">
        <v>599</v>
      </c>
      <c r="B313" s="10">
        <v>45662</v>
      </c>
      <c r="C313" s="11" t="s">
        <v>600</v>
      </c>
      <c r="D313" s="11" t="s">
        <v>48</v>
      </c>
      <c r="E313" s="11" t="s">
        <v>35</v>
      </c>
      <c r="F313" s="11" t="s">
        <v>23</v>
      </c>
      <c r="G313" s="11">
        <v>5</v>
      </c>
      <c r="H313" s="11">
        <v>60.77</v>
      </c>
      <c r="I313" s="11">
        <v>0.05</v>
      </c>
      <c r="J313" s="11">
        <v>288.66000000000003</v>
      </c>
      <c r="K313" s="11">
        <v>212.57</v>
      </c>
      <c r="L313" s="11">
        <v>76.09</v>
      </c>
      <c r="M313" s="11" t="s">
        <v>18</v>
      </c>
      <c r="N313" s="11" t="s">
        <v>727</v>
      </c>
      <c r="O313" s="18" t="s">
        <v>727</v>
      </c>
      <c r="P313" s="35">
        <f t="shared" si="9"/>
        <v>45662</v>
      </c>
      <c r="Q313" s="16" t="str">
        <f t="shared" si="10"/>
        <v>2025-01</v>
      </c>
      <c r="R313" s="50"/>
    </row>
    <row r="314" spans="1:18">
      <c r="A314" s="21" t="s">
        <v>627</v>
      </c>
      <c r="B314" s="19">
        <v>45663</v>
      </c>
      <c r="C314" s="16" t="s">
        <v>164</v>
      </c>
      <c r="D314" s="16" t="s">
        <v>110</v>
      </c>
      <c r="E314" s="16" t="s">
        <v>35</v>
      </c>
      <c r="F314" s="16" t="s">
        <v>17</v>
      </c>
      <c r="G314" s="16">
        <v>2</v>
      </c>
      <c r="H314" s="16">
        <v>169.87</v>
      </c>
      <c r="I314" s="16">
        <v>0.15</v>
      </c>
      <c r="J314" s="16">
        <v>288.77999999999997</v>
      </c>
      <c r="K314" s="16">
        <v>167.71</v>
      </c>
      <c r="L314" s="16">
        <v>121.07</v>
      </c>
      <c r="M314" s="16" t="s">
        <v>18</v>
      </c>
      <c r="N314" s="16" t="s">
        <v>727</v>
      </c>
      <c r="O314" s="17" t="s">
        <v>727</v>
      </c>
      <c r="P314" s="35">
        <f t="shared" si="9"/>
        <v>45663</v>
      </c>
      <c r="Q314" s="16" t="str">
        <f t="shared" si="10"/>
        <v>2025-01</v>
      </c>
      <c r="R314" s="50"/>
    </row>
    <row r="315" spans="1:18">
      <c r="A315" s="20" t="s">
        <v>230</v>
      </c>
      <c r="B315" s="10">
        <v>45682</v>
      </c>
      <c r="C315" s="11" t="s">
        <v>85</v>
      </c>
      <c r="D315" s="11" t="s">
        <v>70</v>
      </c>
      <c r="E315" s="11" t="s">
        <v>35</v>
      </c>
      <c r="F315" s="11" t="s">
        <v>17</v>
      </c>
      <c r="G315" s="11">
        <v>2</v>
      </c>
      <c r="H315" s="11">
        <v>146.09</v>
      </c>
      <c r="I315" s="11">
        <v>0</v>
      </c>
      <c r="J315" s="11">
        <v>292.18</v>
      </c>
      <c r="K315" s="11">
        <v>189.93</v>
      </c>
      <c r="L315" s="11">
        <v>102.25</v>
      </c>
      <c r="M315" s="11" t="s">
        <v>24</v>
      </c>
      <c r="N315" s="11" t="s">
        <v>727</v>
      </c>
      <c r="O315" s="18" t="s">
        <v>727</v>
      </c>
      <c r="P315" s="35">
        <f t="shared" si="9"/>
        <v>45682</v>
      </c>
      <c r="Q315" s="16" t="str">
        <f t="shared" si="10"/>
        <v>2025-01</v>
      </c>
      <c r="R315" s="50"/>
    </row>
    <row r="316" spans="1:18">
      <c r="A316" s="21" t="s">
        <v>64</v>
      </c>
      <c r="B316" s="19">
        <v>45701</v>
      </c>
      <c r="C316" s="16" t="s">
        <v>65</v>
      </c>
      <c r="D316" s="16" t="s">
        <v>41</v>
      </c>
      <c r="E316" s="16" t="s">
        <v>42</v>
      </c>
      <c r="F316" s="16" t="s">
        <v>36</v>
      </c>
      <c r="G316" s="16">
        <v>5</v>
      </c>
      <c r="H316" s="16">
        <v>58.85</v>
      </c>
      <c r="I316" s="16">
        <v>0</v>
      </c>
      <c r="J316" s="16">
        <v>294.25</v>
      </c>
      <c r="K316" s="16">
        <v>202.14</v>
      </c>
      <c r="L316" s="16">
        <v>92.11</v>
      </c>
      <c r="M316" s="16" t="s">
        <v>24</v>
      </c>
      <c r="N316" s="16" t="s">
        <v>727</v>
      </c>
      <c r="O316" s="17" t="s">
        <v>727</v>
      </c>
      <c r="P316" s="35">
        <f t="shared" si="9"/>
        <v>45701</v>
      </c>
      <c r="Q316" s="16" t="str">
        <f t="shared" si="10"/>
        <v>2025-02</v>
      </c>
      <c r="R316" s="50"/>
    </row>
    <row r="317" spans="1:18">
      <c r="A317" s="20" t="s">
        <v>705</v>
      </c>
      <c r="B317" s="10">
        <v>45980</v>
      </c>
      <c r="C317" s="11" t="s">
        <v>527</v>
      </c>
      <c r="D317" s="11" t="s">
        <v>61</v>
      </c>
      <c r="E317" s="11" t="s">
        <v>42</v>
      </c>
      <c r="F317" s="11" t="s">
        <v>30</v>
      </c>
      <c r="G317" s="11">
        <v>2</v>
      </c>
      <c r="H317" s="11">
        <v>163.62</v>
      </c>
      <c r="I317" s="11">
        <v>0.1</v>
      </c>
      <c r="J317" s="11">
        <v>294.52</v>
      </c>
      <c r="K317" s="11">
        <v>186.11</v>
      </c>
      <c r="L317" s="11">
        <v>108.41</v>
      </c>
      <c r="M317" s="11" t="s">
        <v>18</v>
      </c>
      <c r="N317" s="11" t="s">
        <v>727</v>
      </c>
      <c r="O317" s="18" t="s">
        <v>727</v>
      </c>
      <c r="P317" s="35">
        <f t="shared" si="9"/>
        <v>45980</v>
      </c>
      <c r="Q317" s="16" t="str">
        <f t="shared" si="10"/>
        <v>2025-11</v>
      </c>
      <c r="R317" s="50"/>
    </row>
    <row r="318" spans="1:18">
      <c r="A318" s="21" t="s">
        <v>478</v>
      </c>
      <c r="B318" s="19">
        <v>45741</v>
      </c>
      <c r="C318" s="16" t="s">
        <v>135</v>
      </c>
      <c r="D318" s="16" t="s">
        <v>41</v>
      </c>
      <c r="E318" s="16" t="s">
        <v>42</v>
      </c>
      <c r="F318" s="16" t="s">
        <v>30</v>
      </c>
      <c r="G318" s="16">
        <v>4</v>
      </c>
      <c r="H318" s="16">
        <v>73.64</v>
      </c>
      <c r="I318" s="16">
        <v>0</v>
      </c>
      <c r="J318" s="16">
        <v>294.56</v>
      </c>
      <c r="K318" s="16">
        <v>198.48</v>
      </c>
      <c r="L318" s="16">
        <v>96.08</v>
      </c>
      <c r="M318" s="16" t="s">
        <v>18</v>
      </c>
      <c r="N318" s="16" t="s">
        <v>727</v>
      </c>
      <c r="O318" s="17" t="s">
        <v>727</v>
      </c>
      <c r="P318" s="35">
        <f t="shared" si="9"/>
        <v>45741</v>
      </c>
      <c r="Q318" s="16" t="str">
        <f t="shared" si="10"/>
        <v>2025-03</v>
      </c>
      <c r="R318" s="50"/>
    </row>
    <row r="319" spans="1:18">
      <c r="A319" s="20" t="s">
        <v>614</v>
      </c>
      <c r="B319" s="10">
        <v>45869</v>
      </c>
      <c r="C319" s="11" t="s">
        <v>208</v>
      </c>
      <c r="D319" s="11" t="s">
        <v>56</v>
      </c>
      <c r="E319" s="11" t="s">
        <v>16</v>
      </c>
      <c r="F319" s="11" t="s">
        <v>17</v>
      </c>
      <c r="G319" s="11">
        <v>3</v>
      </c>
      <c r="H319" s="11">
        <v>109.39</v>
      </c>
      <c r="I319" s="11">
        <v>0.1</v>
      </c>
      <c r="J319" s="11">
        <v>295.35000000000002</v>
      </c>
      <c r="K319" s="11">
        <v>218.94</v>
      </c>
      <c r="L319" s="11">
        <v>76.41</v>
      </c>
      <c r="M319" s="11" t="s">
        <v>18</v>
      </c>
      <c r="N319" s="11" t="s">
        <v>727</v>
      </c>
      <c r="O319" s="18" t="s">
        <v>727</v>
      </c>
      <c r="P319" s="35">
        <f t="shared" si="9"/>
        <v>45869</v>
      </c>
      <c r="Q319" s="16" t="str">
        <f t="shared" si="10"/>
        <v>2025-07</v>
      </c>
      <c r="R319" s="50"/>
    </row>
    <row r="320" spans="1:18">
      <c r="A320" s="21" t="s">
        <v>443</v>
      </c>
      <c r="B320" s="19">
        <v>45839</v>
      </c>
      <c r="C320" s="16" t="s">
        <v>444</v>
      </c>
      <c r="D320" s="16" t="s">
        <v>77</v>
      </c>
      <c r="E320" s="16" t="s">
        <v>22</v>
      </c>
      <c r="F320" s="16" t="s">
        <v>23</v>
      </c>
      <c r="G320" s="16">
        <v>2</v>
      </c>
      <c r="H320" s="16">
        <v>164.42</v>
      </c>
      <c r="I320" s="16">
        <v>0.1</v>
      </c>
      <c r="J320" s="16">
        <v>295.95999999999998</v>
      </c>
      <c r="K320" s="16">
        <v>163.4</v>
      </c>
      <c r="L320" s="16">
        <v>132.56</v>
      </c>
      <c r="M320" s="16" t="s">
        <v>18</v>
      </c>
      <c r="N320" s="16" t="s">
        <v>727</v>
      </c>
      <c r="O320" s="17" t="s">
        <v>727</v>
      </c>
      <c r="P320" s="35">
        <f t="shared" si="9"/>
        <v>45839</v>
      </c>
      <c r="Q320" s="16" t="str">
        <f t="shared" si="10"/>
        <v>2025-07</v>
      </c>
      <c r="R320" s="50"/>
    </row>
    <row r="321" spans="1:18">
      <c r="A321" s="20" t="s">
        <v>594</v>
      </c>
      <c r="B321" s="10">
        <v>45946</v>
      </c>
      <c r="C321" s="11" t="s">
        <v>40</v>
      </c>
      <c r="D321" s="11" t="s">
        <v>29</v>
      </c>
      <c r="E321" s="11" t="s">
        <v>22</v>
      </c>
      <c r="F321" s="11" t="s">
        <v>36</v>
      </c>
      <c r="G321" s="11">
        <v>4</v>
      </c>
      <c r="H321" s="11">
        <v>74.11</v>
      </c>
      <c r="I321" s="11">
        <v>0</v>
      </c>
      <c r="J321" s="11">
        <v>296.44</v>
      </c>
      <c r="K321" s="11">
        <v>237.66</v>
      </c>
      <c r="L321" s="11">
        <v>58.78</v>
      </c>
      <c r="M321" s="11" t="s">
        <v>18</v>
      </c>
      <c r="N321" s="11" t="s">
        <v>727</v>
      </c>
      <c r="O321" s="18" t="s">
        <v>727</v>
      </c>
      <c r="P321" s="35">
        <f t="shared" si="9"/>
        <v>45946</v>
      </c>
      <c r="Q321" s="16" t="str">
        <f t="shared" si="10"/>
        <v>2025-10</v>
      </c>
      <c r="R321" s="50"/>
    </row>
    <row r="322" spans="1:18">
      <c r="A322" s="21" t="s">
        <v>404</v>
      </c>
      <c r="B322" s="19">
        <v>45903</v>
      </c>
      <c r="C322" s="16" t="s">
        <v>202</v>
      </c>
      <c r="D322" s="16" t="s">
        <v>41</v>
      </c>
      <c r="E322" s="16" t="s">
        <v>42</v>
      </c>
      <c r="F322" s="16" t="s">
        <v>30</v>
      </c>
      <c r="G322" s="16">
        <v>5</v>
      </c>
      <c r="H322" s="16">
        <v>74.58</v>
      </c>
      <c r="I322" s="16">
        <v>0.2</v>
      </c>
      <c r="J322" s="16">
        <v>298.32</v>
      </c>
      <c r="K322" s="16">
        <v>186.32</v>
      </c>
      <c r="L322" s="16">
        <v>112</v>
      </c>
      <c r="M322" s="16" t="s">
        <v>18</v>
      </c>
      <c r="N322" s="16" t="s">
        <v>727</v>
      </c>
      <c r="O322" s="17" t="s">
        <v>727</v>
      </c>
      <c r="P322" s="35">
        <f t="shared" ref="P322:P385" si="11">IF(ISNUMBER(B322),INT(B322),"")</f>
        <v>45903</v>
      </c>
      <c r="Q322" s="16" t="str">
        <f t="shared" ref="Q322:Q385" si="12">IF(ISNUMBER(B322),TEXT(B322,"yyyy-mm"),"Invalid/Missing")</f>
        <v>2025-09</v>
      </c>
      <c r="R322" s="50"/>
    </row>
    <row r="323" spans="1:18">
      <c r="A323" s="20" t="s">
        <v>193</v>
      </c>
      <c r="B323" s="10">
        <v>45672</v>
      </c>
      <c r="C323" s="11" t="s">
        <v>194</v>
      </c>
      <c r="D323" s="11" t="s">
        <v>139</v>
      </c>
      <c r="E323" s="11" t="s">
        <v>16</v>
      </c>
      <c r="F323" s="11" t="s">
        <v>30</v>
      </c>
      <c r="G323" s="11">
        <v>3</v>
      </c>
      <c r="H323" s="11">
        <v>99.52</v>
      </c>
      <c r="I323" s="11">
        <v>0</v>
      </c>
      <c r="J323" s="11">
        <v>298.56</v>
      </c>
      <c r="K323" s="11">
        <v>204.28</v>
      </c>
      <c r="L323" s="11">
        <v>94.28</v>
      </c>
      <c r="M323" s="11" t="s">
        <v>18</v>
      </c>
      <c r="N323" s="11" t="s">
        <v>727</v>
      </c>
      <c r="O323" s="18" t="s">
        <v>727</v>
      </c>
      <c r="P323" s="35">
        <f t="shared" si="11"/>
        <v>45672</v>
      </c>
      <c r="Q323" s="16" t="str">
        <f t="shared" si="12"/>
        <v>2025-01</v>
      </c>
      <c r="R323" s="50"/>
    </row>
    <row r="324" spans="1:18">
      <c r="A324" s="21" t="s">
        <v>322</v>
      </c>
      <c r="B324" s="19">
        <v>45974</v>
      </c>
      <c r="C324" s="16" t="s">
        <v>50</v>
      </c>
      <c r="D324" s="16" t="s">
        <v>41</v>
      </c>
      <c r="E324" s="16" t="s">
        <v>42</v>
      </c>
      <c r="F324" s="16" t="s">
        <v>36</v>
      </c>
      <c r="G324" s="16">
        <v>2</v>
      </c>
      <c r="H324" s="16">
        <v>149.29</v>
      </c>
      <c r="I324" s="16">
        <v>0</v>
      </c>
      <c r="J324" s="16">
        <v>298.58</v>
      </c>
      <c r="K324" s="16">
        <v>224.27</v>
      </c>
      <c r="L324" s="16">
        <v>74.31</v>
      </c>
      <c r="M324" s="16" t="s">
        <v>18</v>
      </c>
      <c r="N324" s="16" t="s">
        <v>727</v>
      </c>
      <c r="O324" s="17" t="s">
        <v>727</v>
      </c>
      <c r="P324" s="35">
        <f t="shared" si="11"/>
        <v>45974</v>
      </c>
      <c r="Q324" s="16" t="str">
        <f t="shared" si="12"/>
        <v>2025-11</v>
      </c>
      <c r="R324" s="50"/>
    </row>
    <row r="325" spans="1:18">
      <c r="A325" s="20" t="s">
        <v>646</v>
      </c>
      <c r="B325" s="10">
        <v>45934</v>
      </c>
      <c r="C325" s="11" t="s">
        <v>647</v>
      </c>
      <c r="D325" s="11" t="s">
        <v>21</v>
      </c>
      <c r="E325" s="11" t="s">
        <v>22</v>
      </c>
      <c r="F325" s="11" t="s">
        <v>36</v>
      </c>
      <c r="G325" s="11">
        <v>4</v>
      </c>
      <c r="H325" s="11">
        <v>75.209999999999994</v>
      </c>
      <c r="I325" s="11">
        <v>0</v>
      </c>
      <c r="J325" s="11">
        <v>300.83999999999997</v>
      </c>
      <c r="K325" s="11">
        <v>188.77</v>
      </c>
      <c r="L325" s="11">
        <v>112.07</v>
      </c>
      <c r="M325" s="11" t="s">
        <v>18</v>
      </c>
      <c r="N325" s="11" t="s">
        <v>727</v>
      </c>
      <c r="O325" s="18" t="s">
        <v>727</v>
      </c>
      <c r="P325" s="35">
        <f t="shared" si="11"/>
        <v>45934</v>
      </c>
      <c r="Q325" s="16" t="str">
        <f t="shared" si="12"/>
        <v>2025-10</v>
      </c>
      <c r="R325" s="50"/>
    </row>
    <row r="326" spans="1:18">
      <c r="A326" s="21" t="s">
        <v>75</v>
      </c>
      <c r="B326" s="19">
        <v>45829</v>
      </c>
      <c r="C326" s="16" t="s">
        <v>76</v>
      </c>
      <c r="D326" s="16" t="s">
        <v>77</v>
      </c>
      <c r="E326" s="16" t="s">
        <v>22</v>
      </c>
      <c r="F326" s="16" t="s">
        <v>36</v>
      </c>
      <c r="G326" s="16">
        <v>5</v>
      </c>
      <c r="H326" s="16">
        <v>67.349999999999994</v>
      </c>
      <c r="I326" s="16">
        <v>0.1</v>
      </c>
      <c r="J326" s="16">
        <v>303.08</v>
      </c>
      <c r="K326" s="16">
        <v>228.59</v>
      </c>
      <c r="L326" s="16">
        <v>74.489999999999995</v>
      </c>
      <c r="M326" s="16" t="s">
        <v>31</v>
      </c>
      <c r="N326" s="16" t="s">
        <v>727</v>
      </c>
      <c r="O326" s="17" t="s">
        <v>727</v>
      </c>
      <c r="P326" s="35">
        <f t="shared" si="11"/>
        <v>45829</v>
      </c>
      <c r="Q326" s="16" t="str">
        <f t="shared" si="12"/>
        <v>2025-06</v>
      </c>
      <c r="R326" s="50"/>
    </row>
    <row r="327" spans="1:18">
      <c r="A327" s="20" t="s">
        <v>103</v>
      </c>
      <c r="B327" s="10">
        <v>45945</v>
      </c>
      <c r="C327" s="11" t="s">
        <v>104</v>
      </c>
      <c r="D327" s="11" t="s">
        <v>105</v>
      </c>
      <c r="E327" s="11" t="s">
        <v>42</v>
      </c>
      <c r="F327" s="11"/>
      <c r="G327" s="11">
        <v>2</v>
      </c>
      <c r="H327" s="11">
        <v>169.02</v>
      </c>
      <c r="I327" s="11">
        <v>0.1</v>
      </c>
      <c r="J327" s="11">
        <v>304.24</v>
      </c>
      <c r="K327" s="11">
        <v>219.36</v>
      </c>
      <c r="L327" s="11">
        <v>84.88</v>
      </c>
      <c r="M327" s="11" t="s">
        <v>18</v>
      </c>
      <c r="N327" s="11" t="s">
        <v>727</v>
      </c>
      <c r="O327" s="18" t="s">
        <v>727</v>
      </c>
      <c r="P327" s="35">
        <f t="shared" si="11"/>
        <v>45945</v>
      </c>
      <c r="Q327" s="16" t="str">
        <f t="shared" si="12"/>
        <v>2025-10</v>
      </c>
      <c r="R327" s="50"/>
    </row>
    <row r="328" spans="1:18">
      <c r="A328" s="21" t="s">
        <v>148</v>
      </c>
      <c r="B328" s="19">
        <v>45958</v>
      </c>
      <c r="C328" s="16" t="s">
        <v>60</v>
      </c>
      <c r="D328" s="16" t="s">
        <v>29</v>
      </c>
      <c r="E328" s="16" t="s">
        <v>22</v>
      </c>
      <c r="F328" s="16" t="s">
        <v>23</v>
      </c>
      <c r="G328" s="16">
        <v>5</v>
      </c>
      <c r="H328" s="16">
        <v>71.75</v>
      </c>
      <c r="I328" s="16">
        <v>0.15</v>
      </c>
      <c r="J328" s="16">
        <v>304.94</v>
      </c>
      <c r="K328" s="16">
        <v>254.37</v>
      </c>
      <c r="L328" s="16">
        <v>50.57</v>
      </c>
      <c r="M328" s="16" t="s">
        <v>18</v>
      </c>
      <c r="N328" s="16" t="s">
        <v>727</v>
      </c>
      <c r="O328" s="17" t="s">
        <v>727</v>
      </c>
      <c r="P328" s="35">
        <f t="shared" si="11"/>
        <v>45958</v>
      </c>
      <c r="Q328" s="16" t="str">
        <f t="shared" si="12"/>
        <v>2025-10</v>
      </c>
      <c r="R328" s="50"/>
    </row>
    <row r="329" spans="1:18">
      <c r="A329" s="20" t="s">
        <v>310</v>
      </c>
      <c r="B329" s="10">
        <v>45715</v>
      </c>
      <c r="C329" s="11" t="s">
        <v>242</v>
      </c>
      <c r="D329" s="11" t="s">
        <v>34</v>
      </c>
      <c r="E329" s="11" t="s">
        <v>35</v>
      </c>
      <c r="F329" s="11" t="s">
        <v>36</v>
      </c>
      <c r="G329" s="11">
        <v>4</v>
      </c>
      <c r="H329" s="11">
        <v>76.39</v>
      </c>
      <c r="I329" s="11">
        <v>0</v>
      </c>
      <c r="J329" s="11">
        <v>305.56</v>
      </c>
      <c r="K329" s="11">
        <v>258.26</v>
      </c>
      <c r="L329" s="11">
        <v>47.3</v>
      </c>
      <c r="M329" s="11" t="s">
        <v>18</v>
      </c>
      <c r="N329" s="11" t="s">
        <v>727</v>
      </c>
      <c r="O329" s="18" t="s">
        <v>727</v>
      </c>
      <c r="P329" s="35">
        <f t="shared" si="11"/>
        <v>45715</v>
      </c>
      <c r="Q329" s="16" t="str">
        <f t="shared" si="12"/>
        <v>2025-02</v>
      </c>
      <c r="R329" s="50"/>
    </row>
    <row r="330" spans="1:18">
      <c r="A330" s="21" t="s">
        <v>580</v>
      </c>
      <c r="B330" s="19">
        <v>45804</v>
      </c>
      <c r="C330" s="16" t="s">
        <v>581</v>
      </c>
      <c r="D330" s="16" t="s">
        <v>61</v>
      </c>
      <c r="E330" s="16" t="s">
        <v>42</v>
      </c>
      <c r="F330" s="16" t="s">
        <v>17</v>
      </c>
      <c r="G330" s="16">
        <v>2</v>
      </c>
      <c r="H330" s="16">
        <v>160.88999999999999</v>
      </c>
      <c r="I330" s="16">
        <v>0.05</v>
      </c>
      <c r="J330" s="16">
        <v>305.69</v>
      </c>
      <c r="K330" s="16">
        <v>186.88</v>
      </c>
      <c r="L330" s="16">
        <v>118.81</v>
      </c>
      <c r="M330" s="16" t="s">
        <v>18</v>
      </c>
      <c r="N330" s="16" t="s">
        <v>727</v>
      </c>
      <c r="O330" s="17" t="s">
        <v>727</v>
      </c>
      <c r="P330" s="35">
        <f t="shared" si="11"/>
        <v>45804</v>
      </c>
      <c r="Q330" s="16" t="str">
        <f t="shared" si="12"/>
        <v>2025-05</v>
      </c>
      <c r="R330" s="50"/>
    </row>
    <row r="331" spans="1:18">
      <c r="A331" s="20" t="s">
        <v>506</v>
      </c>
      <c r="B331" s="10">
        <v>45824</v>
      </c>
      <c r="C331" s="11" t="s">
        <v>172</v>
      </c>
      <c r="D331" s="11" t="s">
        <v>34</v>
      </c>
      <c r="E331" s="11" t="s">
        <v>35</v>
      </c>
      <c r="F331" s="11" t="s">
        <v>23</v>
      </c>
      <c r="G331" s="11">
        <v>3</v>
      </c>
      <c r="H331" s="11">
        <v>108.14</v>
      </c>
      <c r="I331" s="11">
        <v>0.05</v>
      </c>
      <c r="J331" s="11">
        <v>308.2</v>
      </c>
      <c r="K331" s="11">
        <v>225.09</v>
      </c>
      <c r="L331" s="11">
        <v>83.11</v>
      </c>
      <c r="M331" s="11" t="s">
        <v>24</v>
      </c>
      <c r="N331" s="11" t="s">
        <v>727</v>
      </c>
      <c r="O331" s="18" t="s">
        <v>727</v>
      </c>
      <c r="P331" s="35">
        <f t="shared" si="11"/>
        <v>45824</v>
      </c>
      <c r="Q331" s="16" t="str">
        <f t="shared" si="12"/>
        <v>2025-06</v>
      </c>
      <c r="R331" s="50"/>
    </row>
    <row r="332" spans="1:18">
      <c r="A332" s="21" t="s">
        <v>666</v>
      </c>
      <c r="B332" s="19">
        <v>45841</v>
      </c>
      <c r="C332" s="16" t="s">
        <v>85</v>
      </c>
      <c r="D332" s="16" t="s">
        <v>139</v>
      </c>
      <c r="E332" s="16" t="s">
        <v>16</v>
      </c>
      <c r="F332" s="16" t="s">
        <v>36</v>
      </c>
      <c r="G332" s="16">
        <v>4</v>
      </c>
      <c r="H332" s="16">
        <v>86.24</v>
      </c>
      <c r="I332" s="16">
        <v>0.1</v>
      </c>
      <c r="J332" s="16">
        <v>310.45999999999998</v>
      </c>
      <c r="K332" s="16">
        <v>255.53</v>
      </c>
      <c r="L332" s="16">
        <v>54.93</v>
      </c>
      <c r="M332" s="16" t="s">
        <v>24</v>
      </c>
      <c r="N332" s="16" t="s">
        <v>727</v>
      </c>
      <c r="O332" s="17" t="s">
        <v>727</v>
      </c>
      <c r="P332" s="35">
        <f t="shared" si="11"/>
        <v>45841</v>
      </c>
      <c r="Q332" s="16" t="str">
        <f t="shared" si="12"/>
        <v>2025-07</v>
      </c>
      <c r="R332" s="50"/>
    </row>
    <row r="333" spans="1:18">
      <c r="A333" s="20" t="s">
        <v>392</v>
      </c>
      <c r="B333" s="10">
        <v>45938</v>
      </c>
      <c r="C333" s="11" t="s">
        <v>174</v>
      </c>
      <c r="D333" s="11" t="s">
        <v>53</v>
      </c>
      <c r="E333" s="11" t="s">
        <v>42</v>
      </c>
      <c r="F333" s="11" t="s">
        <v>30</v>
      </c>
      <c r="G333" s="11">
        <v>2</v>
      </c>
      <c r="H333" s="11">
        <v>172.66</v>
      </c>
      <c r="I333" s="11">
        <v>0.1</v>
      </c>
      <c r="J333" s="11">
        <v>310.79000000000002</v>
      </c>
      <c r="K333" s="11">
        <v>257.89999999999998</v>
      </c>
      <c r="L333" s="11">
        <v>52.89</v>
      </c>
      <c r="M333" s="11" t="s">
        <v>18</v>
      </c>
      <c r="N333" s="11" t="s">
        <v>727</v>
      </c>
      <c r="O333" s="18" t="s">
        <v>727</v>
      </c>
      <c r="P333" s="35">
        <f t="shared" si="11"/>
        <v>45938</v>
      </c>
      <c r="Q333" s="16" t="str">
        <f t="shared" si="12"/>
        <v>2025-10</v>
      </c>
      <c r="R333" s="50"/>
    </row>
    <row r="334" spans="1:18">
      <c r="A334" s="21" t="s">
        <v>113</v>
      </c>
      <c r="B334" s="19">
        <v>45758</v>
      </c>
      <c r="C334" s="16" t="s">
        <v>114</v>
      </c>
      <c r="D334" s="16" t="s">
        <v>110</v>
      </c>
      <c r="E334" s="16" t="s">
        <v>35</v>
      </c>
      <c r="F334" s="16" t="s">
        <v>30</v>
      </c>
      <c r="G334" s="16">
        <v>2</v>
      </c>
      <c r="H334" s="16">
        <v>155.99</v>
      </c>
      <c r="I334" s="16">
        <v>0</v>
      </c>
      <c r="J334" s="16">
        <v>311.98</v>
      </c>
      <c r="K334" s="16">
        <v>175.22</v>
      </c>
      <c r="L334" s="16">
        <v>136.76</v>
      </c>
      <c r="M334" s="16" t="s">
        <v>18</v>
      </c>
      <c r="N334" s="16" t="s">
        <v>727</v>
      </c>
      <c r="O334" s="17" t="s">
        <v>727</v>
      </c>
      <c r="P334" s="35">
        <f t="shared" si="11"/>
        <v>45758</v>
      </c>
      <c r="Q334" s="16" t="str">
        <f t="shared" si="12"/>
        <v>2025-04</v>
      </c>
      <c r="R334" s="50"/>
    </row>
    <row r="335" spans="1:18">
      <c r="A335" s="20" t="s">
        <v>399</v>
      </c>
      <c r="B335" s="10">
        <v>45835</v>
      </c>
      <c r="C335" s="11" t="s">
        <v>400</v>
      </c>
      <c r="D335" s="11" t="s">
        <v>139</v>
      </c>
      <c r="E335" s="11" t="s">
        <v>16</v>
      </c>
      <c r="F335" s="11" t="s">
        <v>23</v>
      </c>
      <c r="G335" s="11">
        <v>3</v>
      </c>
      <c r="H335" s="11">
        <v>105.08</v>
      </c>
      <c r="I335" s="11">
        <v>0</v>
      </c>
      <c r="J335" s="11">
        <v>315.24</v>
      </c>
      <c r="K335" s="11">
        <v>193.41</v>
      </c>
      <c r="L335" s="11">
        <v>121.83</v>
      </c>
      <c r="M335" s="11" t="s">
        <v>18</v>
      </c>
      <c r="N335" s="11" t="s">
        <v>727</v>
      </c>
      <c r="O335" s="18" t="s">
        <v>727</v>
      </c>
      <c r="P335" s="35">
        <f t="shared" si="11"/>
        <v>45835</v>
      </c>
      <c r="Q335" s="16" t="str">
        <f t="shared" si="12"/>
        <v>2025-06</v>
      </c>
      <c r="R335" s="50"/>
    </row>
    <row r="336" spans="1:18">
      <c r="A336" s="21" t="s">
        <v>501</v>
      </c>
      <c r="B336" s="19">
        <v>45696</v>
      </c>
      <c r="C336" s="16" t="s">
        <v>480</v>
      </c>
      <c r="D336" s="16" t="s">
        <v>53</v>
      </c>
      <c r="E336" s="16" t="s">
        <v>42</v>
      </c>
      <c r="F336" s="16" t="s">
        <v>17</v>
      </c>
      <c r="G336" s="16">
        <v>3</v>
      </c>
      <c r="H336" s="16">
        <v>110.98</v>
      </c>
      <c r="I336" s="16">
        <v>0.05</v>
      </c>
      <c r="J336" s="16">
        <v>316.29000000000002</v>
      </c>
      <c r="K336" s="16">
        <v>187.14</v>
      </c>
      <c r="L336" s="16">
        <v>129.15</v>
      </c>
      <c r="M336" s="16" t="s">
        <v>18</v>
      </c>
      <c r="N336" s="16" t="s">
        <v>727</v>
      </c>
      <c r="O336" s="17" t="s">
        <v>727</v>
      </c>
      <c r="P336" s="35">
        <f t="shared" si="11"/>
        <v>45696</v>
      </c>
      <c r="Q336" s="16" t="str">
        <f t="shared" si="12"/>
        <v>2025-02</v>
      </c>
      <c r="R336" s="50"/>
    </row>
    <row r="337" spans="1:18">
      <c r="A337" s="20" t="s">
        <v>636</v>
      </c>
      <c r="B337" s="10">
        <v>45760</v>
      </c>
      <c r="C337" s="11" t="s">
        <v>33</v>
      </c>
      <c r="D337" s="11" t="s">
        <v>105</v>
      </c>
      <c r="E337" s="11" t="s">
        <v>42</v>
      </c>
      <c r="F337" s="11" t="s">
        <v>30</v>
      </c>
      <c r="G337" s="11">
        <v>5</v>
      </c>
      <c r="H337" s="11">
        <v>75.400000000000006</v>
      </c>
      <c r="I337" s="11">
        <v>0.15</v>
      </c>
      <c r="J337" s="11">
        <v>320.45</v>
      </c>
      <c r="K337" s="11">
        <v>195.89</v>
      </c>
      <c r="L337" s="11">
        <v>124.56</v>
      </c>
      <c r="M337" s="11" t="s">
        <v>18</v>
      </c>
      <c r="N337" s="11" t="s">
        <v>727</v>
      </c>
      <c r="O337" s="18" t="s">
        <v>727</v>
      </c>
      <c r="P337" s="35">
        <f t="shared" si="11"/>
        <v>45760</v>
      </c>
      <c r="Q337" s="16" t="str">
        <f t="shared" si="12"/>
        <v>2025-04</v>
      </c>
      <c r="R337" s="50"/>
    </row>
    <row r="338" spans="1:18">
      <c r="A338" s="21" t="s">
        <v>364</v>
      </c>
      <c r="B338" s="19">
        <v>45734</v>
      </c>
      <c r="C338" s="16" t="s">
        <v>60</v>
      </c>
      <c r="D338" s="16" t="s">
        <v>15</v>
      </c>
      <c r="E338" s="16" t="s">
        <v>16</v>
      </c>
      <c r="F338" s="16" t="s">
        <v>36</v>
      </c>
      <c r="G338" s="16">
        <v>3</v>
      </c>
      <c r="H338" s="16">
        <v>107.92</v>
      </c>
      <c r="I338" s="16">
        <v>0</v>
      </c>
      <c r="J338" s="16">
        <v>323.76</v>
      </c>
      <c r="K338" s="16">
        <v>247.77</v>
      </c>
      <c r="L338" s="16">
        <v>75.989999999999995</v>
      </c>
      <c r="M338" s="16" t="s">
        <v>18</v>
      </c>
      <c r="N338" s="16" t="s">
        <v>727</v>
      </c>
      <c r="O338" s="17" t="s">
        <v>727</v>
      </c>
      <c r="P338" s="35">
        <f t="shared" si="11"/>
        <v>45734</v>
      </c>
      <c r="Q338" s="16" t="str">
        <f t="shared" si="12"/>
        <v>2025-03</v>
      </c>
      <c r="R338" s="50"/>
    </row>
    <row r="339" spans="1:18">
      <c r="A339" s="20" t="s">
        <v>643</v>
      </c>
      <c r="B339" s="10">
        <v>45719</v>
      </c>
      <c r="C339" s="11" t="s">
        <v>98</v>
      </c>
      <c r="D339" s="11" t="s">
        <v>29</v>
      </c>
      <c r="E339" s="11" t="s">
        <v>22</v>
      </c>
      <c r="F339" s="11" t="s">
        <v>30</v>
      </c>
      <c r="G339" s="11">
        <v>3</v>
      </c>
      <c r="H339" s="11">
        <v>120.96</v>
      </c>
      <c r="I339" s="11">
        <v>0.1</v>
      </c>
      <c r="J339" s="11">
        <v>326.58999999999997</v>
      </c>
      <c r="K339" s="11">
        <v>180.44</v>
      </c>
      <c r="L339" s="11">
        <v>146.15</v>
      </c>
      <c r="M339" s="11" t="s">
        <v>18</v>
      </c>
      <c r="N339" s="11" t="s">
        <v>727</v>
      </c>
      <c r="O339" s="18" t="s">
        <v>727</v>
      </c>
      <c r="P339" s="35">
        <f t="shared" si="11"/>
        <v>45719</v>
      </c>
      <c r="Q339" s="16" t="str">
        <f t="shared" si="12"/>
        <v>2025-03</v>
      </c>
      <c r="R339" s="50"/>
    </row>
    <row r="340" spans="1:18">
      <c r="A340" s="21" t="s">
        <v>491</v>
      </c>
      <c r="B340" s="19">
        <v>45750</v>
      </c>
      <c r="C340" s="16" t="s">
        <v>164</v>
      </c>
      <c r="D340" s="16" t="s">
        <v>77</v>
      </c>
      <c r="E340" s="16" t="s">
        <v>22</v>
      </c>
      <c r="F340" s="16" t="s">
        <v>30</v>
      </c>
      <c r="G340" s="16">
        <v>2</v>
      </c>
      <c r="H340" s="16">
        <v>164.07</v>
      </c>
      <c r="I340" s="16">
        <v>0</v>
      </c>
      <c r="J340" s="16">
        <v>328.14</v>
      </c>
      <c r="K340" s="16">
        <v>226.71</v>
      </c>
      <c r="L340" s="16">
        <v>101.43</v>
      </c>
      <c r="M340" s="16" t="s">
        <v>18</v>
      </c>
      <c r="N340" s="16" t="s">
        <v>727</v>
      </c>
      <c r="O340" s="17" t="s">
        <v>727</v>
      </c>
      <c r="P340" s="35">
        <f t="shared" si="11"/>
        <v>45750</v>
      </c>
      <c r="Q340" s="16" t="str">
        <f t="shared" si="12"/>
        <v>2025-04</v>
      </c>
      <c r="R340" s="50"/>
    </row>
    <row r="341" spans="1:18">
      <c r="A341" s="20" t="s">
        <v>370</v>
      </c>
      <c r="B341" s="10">
        <v>45765</v>
      </c>
      <c r="C341" s="11" t="s">
        <v>371</v>
      </c>
      <c r="D341" s="11" t="s">
        <v>110</v>
      </c>
      <c r="E341" s="11" t="s">
        <v>35</v>
      </c>
      <c r="F341" s="11" t="s">
        <v>17</v>
      </c>
      <c r="G341" s="11">
        <v>3</v>
      </c>
      <c r="H341" s="11">
        <v>115.3</v>
      </c>
      <c r="I341" s="11">
        <v>0.05</v>
      </c>
      <c r="J341" s="11">
        <v>328.6</v>
      </c>
      <c r="K341" s="11">
        <v>238.56</v>
      </c>
      <c r="L341" s="11">
        <v>90.04</v>
      </c>
      <c r="M341" s="11" t="s">
        <v>18</v>
      </c>
      <c r="N341" s="11" t="s">
        <v>727</v>
      </c>
      <c r="O341" s="18" t="s">
        <v>727</v>
      </c>
      <c r="P341" s="35">
        <f t="shared" si="11"/>
        <v>45765</v>
      </c>
      <c r="Q341" s="16" t="str">
        <f t="shared" si="12"/>
        <v>2025-04</v>
      </c>
      <c r="R341" s="50"/>
    </row>
    <row r="342" spans="1:18">
      <c r="A342" s="21" t="s">
        <v>215</v>
      </c>
      <c r="B342" s="19">
        <v>45810</v>
      </c>
      <c r="C342" s="16" t="s">
        <v>180</v>
      </c>
      <c r="D342" s="16" t="s">
        <v>29</v>
      </c>
      <c r="E342" s="16" t="s">
        <v>22</v>
      </c>
      <c r="F342" s="16" t="s">
        <v>30</v>
      </c>
      <c r="G342" s="16">
        <v>3</v>
      </c>
      <c r="H342" s="16">
        <v>115.35</v>
      </c>
      <c r="I342" s="16">
        <v>0.05</v>
      </c>
      <c r="J342" s="16">
        <v>328.75</v>
      </c>
      <c r="K342" s="16">
        <v>224.08</v>
      </c>
      <c r="L342" s="16">
        <v>104.67</v>
      </c>
      <c r="M342" s="16" t="s">
        <v>18</v>
      </c>
      <c r="N342" s="16" t="s">
        <v>727</v>
      </c>
      <c r="O342" s="17" t="s">
        <v>727</v>
      </c>
      <c r="P342" s="35">
        <f t="shared" si="11"/>
        <v>45810</v>
      </c>
      <c r="Q342" s="16" t="str">
        <f t="shared" si="12"/>
        <v>2025-06</v>
      </c>
      <c r="R342" s="50"/>
    </row>
    <row r="343" spans="1:18">
      <c r="A343" s="20" t="s">
        <v>606</v>
      </c>
      <c r="B343" s="10">
        <v>45698</v>
      </c>
      <c r="C343" s="11" t="s">
        <v>607</v>
      </c>
      <c r="D343" s="11" t="s">
        <v>41</v>
      </c>
      <c r="E343" s="11" t="s">
        <v>42</v>
      </c>
      <c r="F343" s="11" t="s">
        <v>23</v>
      </c>
      <c r="G343" s="11">
        <v>3</v>
      </c>
      <c r="H343" s="11">
        <v>110.4</v>
      </c>
      <c r="I343" s="11">
        <v>0</v>
      </c>
      <c r="J343" s="11">
        <v>331.2</v>
      </c>
      <c r="K343" s="11">
        <v>274.12</v>
      </c>
      <c r="L343" s="11">
        <v>57.08</v>
      </c>
      <c r="M343" s="11" t="s">
        <v>24</v>
      </c>
      <c r="N343" s="11" t="s">
        <v>727</v>
      </c>
      <c r="O343" s="18" t="s">
        <v>727</v>
      </c>
      <c r="P343" s="35">
        <f t="shared" si="11"/>
        <v>45698</v>
      </c>
      <c r="Q343" s="16" t="str">
        <f t="shared" si="12"/>
        <v>2025-02</v>
      </c>
      <c r="R343" s="50"/>
    </row>
    <row r="344" spans="1:18">
      <c r="A344" s="21" t="s">
        <v>468</v>
      </c>
      <c r="B344" s="19">
        <v>46021</v>
      </c>
      <c r="C344" s="16" t="s">
        <v>314</v>
      </c>
      <c r="D344" s="16" t="s">
        <v>41</v>
      </c>
      <c r="E344" s="16" t="s">
        <v>42</v>
      </c>
      <c r="F344" s="16" t="s">
        <v>23</v>
      </c>
      <c r="G344" s="16">
        <v>3</v>
      </c>
      <c r="H344" s="16">
        <v>138.65</v>
      </c>
      <c r="I344" s="16">
        <v>0.2</v>
      </c>
      <c r="J344" s="16">
        <v>332.76</v>
      </c>
      <c r="K344" s="16">
        <v>272.99</v>
      </c>
      <c r="L344" s="16">
        <v>59.77</v>
      </c>
      <c r="M344" s="16" t="s">
        <v>24</v>
      </c>
      <c r="N344" s="16" t="s">
        <v>727</v>
      </c>
      <c r="O344" s="17" t="s">
        <v>727</v>
      </c>
      <c r="P344" s="35">
        <f t="shared" si="11"/>
        <v>46021</v>
      </c>
      <c r="Q344" s="16" t="str">
        <f t="shared" si="12"/>
        <v>2025-12</v>
      </c>
      <c r="R344" s="50"/>
    </row>
    <row r="345" spans="1:18">
      <c r="A345" s="20" t="s">
        <v>622</v>
      </c>
      <c r="B345" s="10">
        <v>46020</v>
      </c>
      <c r="C345" s="11" t="s">
        <v>174</v>
      </c>
      <c r="D345" s="11" t="s">
        <v>61</v>
      </c>
      <c r="E345" s="11" t="s">
        <v>42</v>
      </c>
      <c r="F345" s="11" t="s">
        <v>23</v>
      </c>
      <c r="G345" s="11">
        <v>3</v>
      </c>
      <c r="H345" s="11">
        <v>111</v>
      </c>
      <c r="I345" s="11">
        <v>0</v>
      </c>
      <c r="J345" s="11">
        <v>333</v>
      </c>
      <c r="K345" s="11">
        <v>242.11</v>
      </c>
      <c r="L345" s="11">
        <v>90.89</v>
      </c>
      <c r="M345" s="11" t="s">
        <v>31</v>
      </c>
      <c r="N345" s="11" t="s">
        <v>727</v>
      </c>
      <c r="O345" s="18" t="s">
        <v>727</v>
      </c>
      <c r="P345" s="35">
        <f t="shared" si="11"/>
        <v>46020</v>
      </c>
      <c r="Q345" s="16" t="str">
        <f t="shared" si="12"/>
        <v>2025-12</v>
      </c>
      <c r="R345" s="50"/>
    </row>
    <row r="346" spans="1:18">
      <c r="A346" s="21" t="s">
        <v>160</v>
      </c>
      <c r="B346" s="19">
        <v>46014</v>
      </c>
      <c r="C346" s="16" t="s">
        <v>161</v>
      </c>
      <c r="D346" s="16" t="s">
        <v>61</v>
      </c>
      <c r="E346" s="16" t="s">
        <v>42</v>
      </c>
      <c r="F346" s="16" t="s">
        <v>23</v>
      </c>
      <c r="G346" s="16">
        <v>4</v>
      </c>
      <c r="H346" s="16">
        <v>87.76</v>
      </c>
      <c r="I346" s="16">
        <v>0.05</v>
      </c>
      <c r="J346" s="16">
        <v>333.49</v>
      </c>
      <c r="K346" s="16">
        <v>241.81</v>
      </c>
      <c r="L346" s="16">
        <v>91.68</v>
      </c>
      <c r="M346" s="16" t="s">
        <v>24</v>
      </c>
      <c r="N346" s="16" t="s">
        <v>727</v>
      </c>
      <c r="O346" s="17" t="s">
        <v>727</v>
      </c>
      <c r="P346" s="35">
        <f t="shared" si="11"/>
        <v>46014</v>
      </c>
      <c r="Q346" s="16" t="str">
        <f t="shared" si="12"/>
        <v>2025-12</v>
      </c>
      <c r="R346" s="50"/>
    </row>
    <row r="347" spans="1:18">
      <c r="A347" s="20" t="s">
        <v>129</v>
      </c>
      <c r="B347" s="10">
        <v>45925</v>
      </c>
      <c r="C347" s="11" t="s">
        <v>102</v>
      </c>
      <c r="D347" s="11" t="s">
        <v>77</v>
      </c>
      <c r="E347" s="11" t="s">
        <v>22</v>
      </c>
      <c r="F347" s="11" t="s">
        <v>30</v>
      </c>
      <c r="G347" s="11">
        <v>3</v>
      </c>
      <c r="H347" s="11">
        <v>118.65</v>
      </c>
      <c r="I347" s="11">
        <v>0.05</v>
      </c>
      <c r="J347" s="11">
        <v>338.15</v>
      </c>
      <c r="K347" s="11">
        <v>241.33</v>
      </c>
      <c r="L347" s="11">
        <v>96.82</v>
      </c>
      <c r="M347" s="11" t="s">
        <v>31</v>
      </c>
      <c r="N347" s="11" t="s">
        <v>727</v>
      </c>
      <c r="O347" s="18" t="s">
        <v>727</v>
      </c>
      <c r="P347" s="35">
        <f t="shared" si="11"/>
        <v>45925</v>
      </c>
      <c r="Q347" s="16" t="str">
        <f t="shared" si="12"/>
        <v>2025-09</v>
      </c>
      <c r="R347" s="50"/>
    </row>
    <row r="348" spans="1:18">
      <c r="A348" s="21" t="s">
        <v>547</v>
      </c>
      <c r="B348" s="19">
        <v>45986</v>
      </c>
      <c r="C348" s="16" t="s">
        <v>147</v>
      </c>
      <c r="D348" s="16" t="s">
        <v>88</v>
      </c>
      <c r="E348" s="16" t="s">
        <v>16</v>
      </c>
      <c r="F348" s="16" t="s">
        <v>17</v>
      </c>
      <c r="G348" s="16">
        <v>5</v>
      </c>
      <c r="H348" s="16">
        <v>79.64</v>
      </c>
      <c r="I348" s="16">
        <v>0.15</v>
      </c>
      <c r="J348" s="16">
        <v>338.47</v>
      </c>
      <c r="K348" s="16">
        <v>272.5</v>
      </c>
      <c r="L348" s="16">
        <v>65.97</v>
      </c>
      <c r="M348" s="16" t="s">
        <v>18</v>
      </c>
      <c r="N348" s="16" t="s">
        <v>727</v>
      </c>
      <c r="O348" s="17" t="s">
        <v>727</v>
      </c>
      <c r="P348" s="35">
        <f t="shared" si="11"/>
        <v>45986</v>
      </c>
      <c r="Q348" s="16" t="str">
        <f t="shared" si="12"/>
        <v>2025-11</v>
      </c>
      <c r="R348" s="50"/>
    </row>
    <row r="349" spans="1:18">
      <c r="A349" s="20" t="s">
        <v>225</v>
      </c>
      <c r="B349" s="10">
        <v>45768</v>
      </c>
      <c r="C349" s="11" t="s">
        <v>38</v>
      </c>
      <c r="D349" s="11" t="s">
        <v>45</v>
      </c>
      <c r="E349" s="11" t="s">
        <v>22</v>
      </c>
      <c r="F349" s="11" t="s">
        <v>23</v>
      </c>
      <c r="G349" s="11">
        <v>2</v>
      </c>
      <c r="H349" s="11">
        <v>170.93</v>
      </c>
      <c r="I349" s="11">
        <v>0</v>
      </c>
      <c r="J349" s="11">
        <v>341.86</v>
      </c>
      <c r="K349" s="11">
        <v>248.15</v>
      </c>
      <c r="L349" s="11">
        <v>93.71</v>
      </c>
      <c r="M349" s="11" t="s">
        <v>18</v>
      </c>
      <c r="N349" s="11" t="s">
        <v>727</v>
      </c>
      <c r="O349" s="18" t="s">
        <v>727</v>
      </c>
      <c r="P349" s="35">
        <f t="shared" si="11"/>
        <v>45768</v>
      </c>
      <c r="Q349" s="16" t="str">
        <f t="shared" si="12"/>
        <v>2025-04</v>
      </c>
      <c r="R349" s="50"/>
    </row>
    <row r="350" spans="1:18">
      <c r="A350" s="21" t="s">
        <v>455</v>
      </c>
      <c r="B350" s="19">
        <v>45716</v>
      </c>
      <c r="C350" s="16" t="s">
        <v>127</v>
      </c>
      <c r="D350" s="16" t="s">
        <v>29</v>
      </c>
      <c r="E350" s="16" t="s">
        <v>22</v>
      </c>
      <c r="F350" s="16" t="s">
        <v>17</v>
      </c>
      <c r="G350" s="16">
        <v>3</v>
      </c>
      <c r="H350" s="16">
        <v>119.97</v>
      </c>
      <c r="I350" s="16">
        <v>0.05</v>
      </c>
      <c r="J350" s="16">
        <v>341.91</v>
      </c>
      <c r="K350" s="16">
        <v>194.44</v>
      </c>
      <c r="L350" s="16">
        <v>147.47</v>
      </c>
      <c r="M350" s="16" t="s">
        <v>24</v>
      </c>
      <c r="N350" s="16" t="s">
        <v>727</v>
      </c>
      <c r="O350" s="17" t="s">
        <v>727</v>
      </c>
      <c r="P350" s="35">
        <f t="shared" si="11"/>
        <v>45716</v>
      </c>
      <c r="Q350" s="16" t="str">
        <f t="shared" si="12"/>
        <v>2025-02</v>
      </c>
      <c r="R350" s="50"/>
    </row>
    <row r="351" spans="1:18">
      <c r="A351" s="20" t="s">
        <v>363</v>
      </c>
      <c r="B351" s="10">
        <v>45709</v>
      </c>
      <c r="C351" s="11" t="s">
        <v>312</v>
      </c>
      <c r="D351" s="11" t="s">
        <v>21</v>
      </c>
      <c r="E351" s="11" t="s">
        <v>22</v>
      </c>
      <c r="F351" s="11" t="s">
        <v>30</v>
      </c>
      <c r="G351" s="11">
        <v>5</v>
      </c>
      <c r="H351" s="11">
        <v>68.48</v>
      </c>
      <c r="I351" s="11">
        <v>0</v>
      </c>
      <c r="J351" s="11">
        <v>342.4</v>
      </c>
      <c r="K351" s="11">
        <v>238.23</v>
      </c>
      <c r="L351" s="11">
        <v>104.17</v>
      </c>
      <c r="M351" s="11" t="s">
        <v>31</v>
      </c>
      <c r="N351" s="11" t="s">
        <v>727</v>
      </c>
      <c r="O351" s="18" t="s">
        <v>727</v>
      </c>
      <c r="P351" s="35">
        <f t="shared" si="11"/>
        <v>45709</v>
      </c>
      <c r="Q351" s="16" t="str">
        <f t="shared" si="12"/>
        <v>2025-02</v>
      </c>
      <c r="R351" s="50"/>
    </row>
    <row r="352" spans="1:18">
      <c r="A352" s="21" t="s">
        <v>228</v>
      </c>
      <c r="B352" s="19">
        <v>45959</v>
      </c>
      <c r="C352" s="16" t="s">
        <v>55</v>
      </c>
      <c r="D352" s="16" t="s">
        <v>110</v>
      </c>
      <c r="E352" s="16" t="s">
        <v>35</v>
      </c>
      <c r="F352" s="16" t="s">
        <v>30</v>
      </c>
      <c r="G352" s="16">
        <v>3</v>
      </c>
      <c r="H352" s="16">
        <v>134.66999999999999</v>
      </c>
      <c r="I352" s="16">
        <v>0.15</v>
      </c>
      <c r="J352" s="16">
        <v>343.41</v>
      </c>
      <c r="K352" s="16">
        <v>284.23</v>
      </c>
      <c r="L352" s="16">
        <v>59.18</v>
      </c>
      <c r="M352" s="16" t="s">
        <v>18</v>
      </c>
      <c r="N352" s="16" t="s">
        <v>727</v>
      </c>
      <c r="O352" s="17" t="s">
        <v>727</v>
      </c>
      <c r="P352" s="35">
        <f t="shared" si="11"/>
        <v>45959</v>
      </c>
      <c r="Q352" s="16" t="str">
        <f t="shared" si="12"/>
        <v>2025-10</v>
      </c>
      <c r="R352" s="50"/>
    </row>
    <row r="353" spans="1:18">
      <c r="A353" s="20" t="s">
        <v>126</v>
      </c>
      <c r="B353" s="10">
        <v>45837</v>
      </c>
      <c r="C353" s="11" t="s">
        <v>127</v>
      </c>
      <c r="D353" s="11" t="s">
        <v>41</v>
      </c>
      <c r="E353" s="11" t="s">
        <v>42</v>
      </c>
      <c r="F353" s="11" t="s">
        <v>36</v>
      </c>
      <c r="G353" s="11">
        <v>5</v>
      </c>
      <c r="H353" s="11">
        <v>76.540000000000006</v>
      </c>
      <c r="I353" s="11">
        <v>0.1</v>
      </c>
      <c r="J353" s="11">
        <v>344.43</v>
      </c>
      <c r="K353" s="11">
        <v>255.06</v>
      </c>
      <c r="L353" s="11">
        <v>89.37</v>
      </c>
      <c r="M353" s="11" t="s">
        <v>18</v>
      </c>
      <c r="N353" s="11" t="s">
        <v>727</v>
      </c>
      <c r="O353" s="18" t="s">
        <v>727</v>
      </c>
      <c r="P353" s="35">
        <f t="shared" si="11"/>
        <v>45837</v>
      </c>
      <c r="Q353" s="16" t="str">
        <f t="shared" si="12"/>
        <v>2025-06</v>
      </c>
      <c r="R353" s="50"/>
    </row>
    <row r="354" spans="1:18">
      <c r="A354" s="21" t="s">
        <v>664</v>
      </c>
      <c r="B354" s="19">
        <v>45978</v>
      </c>
      <c r="C354" s="16" t="s">
        <v>647</v>
      </c>
      <c r="D354" s="16" t="s">
        <v>88</v>
      </c>
      <c r="E354" s="16" t="s">
        <v>16</v>
      </c>
      <c r="F354" s="16" t="s">
        <v>17</v>
      </c>
      <c r="G354" s="16">
        <v>3</v>
      </c>
      <c r="H354" s="16">
        <v>127.91</v>
      </c>
      <c r="I354" s="16">
        <v>0.1</v>
      </c>
      <c r="J354" s="16">
        <v>345.36</v>
      </c>
      <c r="K354" s="16">
        <v>218.47</v>
      </c>
      <c r="L354" s="16">
        <v>126.89</v>
      </c>
      <c r="M354" s="16" t="s">
        <v>18</v>
      </c>
      <c r="N354" s="16" t="s">
        <v>727</v>
      </c>
      <c r="O354" s="17" t="s">
        <v>727</v>
      </c>
      <c r="P354" s="35">
        <f t="shared" si="11"/>
        <v>45978</v>
      </c>
      <c r="Q354" s="16" t="str">
        <f t="shared" si="12"/>
        <v>2025-11</v>
      </c>
      <c r="R354" s="50"/>
    </row>
    <row r="355" spans="1:18">
      <c r="A355" s="20" t="s">
        <v>479</v>
      </c>
      <c r="B355" s="10">
        <v>45932</v>
      </c>
      <c r="C355" s="11" t="s">
        <v>480</v>
      </c>
      <c r="D355" s="11" t="s">
        <v>29</v>
      </c>
      <c r="E355" s="11" t="s">
        <v>22</v>
      </c>
      <c r="F355" s="11" t="s">
        <v>23</v>
      </c>
      <c r="G355" s="11">
        <v>2</v>
      </c>
      <c r="H355" s="11">
        <v>174.19</v>
      </c>
      <c r="I355" s="11">
        <v>0</v>
      </c>
      <c r="J355" s="11">
        <v>348.38</v>
      </c>
      <c r="K355" s="11">
        <v>265.57</v>
      </c>
      <c r="L355" s="11">
        <v>82.81</v>
      </c>
      <c r="M355" s="11" t="s">
        <v>18</v>
      </c>
      <c r="N355" s="11" t="s">
        <v>727</v>
      </c>
      <c r="O355" s="18" t="s">
        <v>727</v>
      </c>
      <c r="P355" s="35">
        <f t="shared" si="11"/>
        <v>45932</v>
      </c>
      <c r="Q355" s="16" t="str">
        <f t="shared" si="12"/>
        <v>2025-10</v>
      </c>
      <c r="R355" s="50"/>
    </row>
    <row r="356" spans="1:18">
      <c r="A356" s="21" t="s">
        <v>213</v>
      </c>
      <c r="B356" s="19">
        <v>45699</v>
      </c>
      <c r="C356" s="16" t="s">
        <v>214</v>
      </c>
      <c r="D356" s="16" t="s">
        <v>70</v>
      </c>
      <c r="E356" s="16" t="s">
        <v>35</v>
      </c>
      <c r="F356" s="16" t="s">
        <v>36</v>
      </c>
      <c r="G356" s="16">
        <v>3</v>
      </c>
      <c r="H356" s="16">
        <v>122.41</v>
      </c>
      <c r="I356" s="16">
        <v>0.05</v>
      </c>
      <c r="J356" s="16">
        <v>348.87</v>
      </c>
      <c r="K356" s="16">
        <v>229.43</v>
      </c>
      <c r="L356" s="16">
        <v>119.44</v>
      </c>
      <c r="M356" s="16" t="s">
        <v>31</v>
      </c>
      <c r="N356" s="16" t="s">
        <v>727</v>
      </c>
      <c r="O356" s="17" t="s">
        <v>727</v>
      </c>
      <c r="P356" s="35">
        <f t="shared" si="11"/>
        <v>45699</v>
      </c>
      <c r="Q356" s="16" t="str">
        <f t="shared" si="12"/>
        <v>2025-02</v>
      </c>
      <c r="R356" s="50"/>
    </row>
    <row r="357" spans="1:18">
      <c r="A357" s="20" t="s">
        <v>151</v>
      </c>
      <c r="B357" s="10">
        <v>46018</v>
      </c>
      <c r="C357" s="11" t="s">
        <v>152</v>
      </c>
      <c r="D357" s="11" t="s">
        <v>88</v>
      </c>
      <c r="E357" s="11" t="s">
        <v>16</v>
      </c>
      <c r="F357" s="11" t="s">
        <v>30</v>
      </c>
      <c r="G357" s="11">
        <v>5</v>
      </c>
      <c r="H357" s="11">
        <v>77.69</v>
      </c>
      <c r="I357" s="11">
        <v>0.1</v>
      </c>
      <c r="J357" s="11">
        <v>349.6</v>
      </c>
      <c r="K357" s="11">
        <v>269.99</v>
      </c>
      <c r="L357" s="11">
        <v>79.61</v>
      </c>
      <c r="M357" s="11" t="s">
        <v>31</v>
      </c>
      <c r="N357" s="11" t="s">
        <v>727</v>
      </c>
      <c r="O357" s="18" t="s">
        <v>727</v>
      </c>
      <c r="P357" s="35">
        <f t="shared" si="11"/>
        <v>46018</v>
      </c>
      <c r="Q357" s="16" t="str">
        <f t="shared" si="12"/>
        <v>2025-12</v>
      </c>
      <c r="R357" s="50"/>
    </row>
    <row r="358" spans="1:18">
      <c r="A358" s="21" t="s">
        <v>471</v>
      </c>
      <c r="B358" s="19">
        <v>45905</v>
      </c>
      <c r="C358" s="16" t="s">
        <v>472</v>
      </c>
      <c r="D358" s="16" t="s">
        <v>53</v>
      </c>
      <c r="E358" s="16" t="s">
        <v>42</v>
      </c>
      <c r="F358" s="16" t="s">
        <v>17</v>
      </c>
      <c r="G358" s="16">
        <v>3</v>
      </c>
      <c r="H358" s="16">
        <v>117.07</v>
      </c>
      <c r="I358" s="16">
        <v>0</v>
      </c>
      <c r="J358" s="16">
        <v>351.21</v>
      </c>
      <c r="K358" s="16">
        <v>264.41000000000003</v>
      </c>
      <c r="L358" s="16">
        <v>86.8</v>
      </c>
      <c r="M358" s="16" t="s">
        <v>18</v>
      </c>
      <c r="N358" s="16" t="s">
        <v>727</v>
      </c>
      <c r="O358" s="17" t="s">
        <v>727</v>
      </c>
      <c r="P358" s="35">
        <f t="shared" si="11"/>
        <v>45905</v>
      </c>
      <c r="Q358" s="16" t="str">
        <f t="shared" si="12"/>
        <v>2025-09</v>
      </c>
      <c r="R358" s="50"/>
    </row>
    <row r="359" spans="1:18">
      <c r="A359" s="20" t="s">
        <v>630</v>
      </c>
      <c r="B359" s="10">
        <v>45904</v>
      </c>
      <c r="C359" s="11" t="s">
        <v>38</v>
      </c>
      <c r="D359" s="11" t="s">
        <v>70</v>
      </c>
      <c r="E359" s="11" t="s">
        <v>35</v>
      </c>
      <c r="F359" s="11" t="s">
        <v>30</v>
      </c>
      <c r="G359" s="11">
        <v>5</v>
      </c>
      <c r="H359" s="11">
        <v>78.709999999999994</v>
      </c>
      <c r="I359" s="11">
        <v>0.1</v>
      </c>
      <c r="J359" s="11">
        <v>354.2</v>
      </c>
      <c r="K359" s="11">
        <v>235.7</v>
      </c>
      <c r="L359" s="11">
        <v>118.5</v>
      </c>
      <c r="M359" s="11" t="s">
        <v>31</v>
      </c>
      <c r="N359" s="11" t="s">
        <v>727</v>
      </c>
      <c r="O359" s="18" t="s">
        <v>727</v>
      </c>
      <c r="P359" s="35">
        <f t="shared" si="11"/>
        <v>45904</v>
      </c>
      <c r="Q359" s="16" t="str">
        <f t="shared" si="12"/>
        <v>2025-09</v>
      </c>
      <c r="R359" s="50"/>
    </row>
    <row r="360" spans="1:18">
      <c r="A360" s="21" t="s">
        <v>99</v>
      </c>
      <c r="B360" s="19">
        <v>45890</v>
      </c>
      <c r="C360" s="16" t="s">
        <v>100</v>
      </c>
      <c r="D360" s="16" t="s">
        <v>48</v>
      </c>
      <c r="E360" s="16" t="s">
        <v>35</v>
      </c>
      <c r="F360" s="16" t="s">
        <v>23</v>
      </c>
      <c r="G360" s="16">
        <v>4</v>
      </c>
      <c r="H360" s="16">
        <v>88.83</v>
      </c>
      <c r="I360" s="16">
        <v>0</v>
      </c>
      <c r="J360" s="16">
        <v>355.32</v>
      </c>
      <c r="K360" s="16">
        <v>289.60000000000002</v>
      </c>
      <c r="L360" s="16">
        <v>65.72</v>
      </c>
      <c r="M360" s="16" t="s">
        <v>24</v>
      </c>
      <c r="N360" s="16" t="s">
        <v>727</v>
      </c>
      <c r="O360" s="17" t="s">
        <v>727</v>
      </c>
      <c r="P360" s="35">
        <f t="shared" si="11"/>
        <v>45890</v>
      </c>
      <c r="Q360" s="16" t="str">
        <f t="shared" si="12"/>
        <v>2025-08</v>
      </c>
      <c r="R360" s="50"/>
    </row>
    <row r="361" spans="1:18">
      <c r="A361" s="20" t="s">
        <v>634</v>
      </c>
      <c r="B361" s="10">
        <v>46011</v>
      </c>
      <c r="C361" s="11" t="s">
        <v>395</v>
      </c>
      <c r="D361" s="11" t="s">
        <v>105</v>
      </c>
      <c r="E361" s="11" t="s">
        <v>42</v>
      </c>
      <c r="F361" s="11" t="s">
        <v>36</v>
      </c>
      <c r="G361" s="11">
        <v>3</v>
      </c>
      <c r="H361" s="11">
        <v>124.78</v>
      </c>
      <c r="I361" s="11">
        <v>0.05</v>
      </c>
      <c r="J361" s="11">
        <v>355.62</v>
      </c>
      <c r="K361" s="11">
        <v>275.99</v>
      </c>
      <c r="L361" s="11">
        <v>79.63</v>
      </c>
      <c r="M361" s="11" t="s">
        <v>31</v>
      </c>
      <c r="N361" s="11" t="s">
        <v>727</v>
      </c>
      <c r="O361" s="18" t="s">
        <v>727</v>
      </c>
      <c r="P361" s="35">
        <f t="shared" si="11"/>
        <v>46011</v>
      </c>
      <c r="Q361" s="16" t="str">
        <f t="shared" si="12"/>
        <v>2025-12</v>
      </c>
      <c r="R361" s="50"/>
    </row>
    <row r="362" spans="1:18">
      <c r="A362" s="21" t="s">
        <v>334</v>
      </c>
      <c r="B362" s="19">
        <v>45894</v>
      </c>
      <c r="C362" s="16" t="s">
        <v>335</v>
      </c>
      <c r="D362" s="16" t="s">
        <v>53</v>
      </c>
      <c r="E362" s="16" t="s">
        <v>42</v>
      </c>
      <c r="F362" s="16" t="s">
        <v>23</v>
      </c>
      <c r="G362" s="16">
        <v>2</v>
      </c>
      <c r="H362" s="16">
        <v>178.65</v>
      </c>
      <c r="I362" s="16">
        <v>0</v>
      </c>
      <c r="J362" s="16">
        <v>357.3</v>
      </c>
      <c r="K362" s="16">
        <v>235.01</v>
      </c>
      <c r="L362" s="16">
        <v>122.29</v>
      </c>
      <c r="M362" s="16" t="s">
        <v>18</v>
      </c>
      <c r="N362" s="16" t="s">
        <v>727</v>
      </c>
      <c r="O362" s="17" t="s">
        <v>727</v>
      </c>
      <c r="P362" s="35">
        <f t="shared" si="11"/>
        <v>45894</v>
      </c>
      <c r="Q362" s="16" t="str">
        <f t="shared" si="12"/>
        <v>2025-08</v>
      </c>
      <c r="R362" s="50"/>
    </row>
    <row r="363" spans="1:18">
      <c r="A363" s="20" t="s">
        <v>163</v>
      </c>
      <c r="B363" s="10">
        <v>45908</v>
      </c>
      <c r="C363" s="11" t="s">
        <v>164</v>
      </c>
      <c r="D363" s="11" t="s">
        <v>41</v>
      </c>
      <c r="E363" s="11" t="s">
        <v>42</v>
      </c>
      <c r="F363" s="11" t="s">
        <v>30</v>
      </c>
      <c r="G363" s="11">
        <v>3</v>
      </c>
      <c r="H363" s="11">
        <v>132.82</v>
      </c>
      <c r="I363" s="11">
        <v>0.1</v>
      </c>
      <c r="J363" s="11">
        <v>358.61</v>
      </c>
      <c r="K363" s="11">
        <v>242.23</v>
      </c>
      <c r="L363" s="11">
        <v>116.38</v>
      </c>
      <c r="M363" s="11" t="s">
        <v>18</v>
      </c>
      <c r="N363" s="11" t="s">
        <v>727</v>
      </c>
      <c r="O363" s="18" t="s">
        <v>727</v>
      </c>
      <c r="P363" s="35">
        <f t="shared" si="11"/>
        <v>45908</v>
      </c>
      <c r="Q363" s="16" t="str">
        <f t="shared" si="12"/>
        <v>2025-09</v>
      </c>
      <c r="R363" s="50"/>
    </row>
    <row r="364" spans="1:18">
      <c r="A364" s="21" t="s">
        <v>608</v>
      </c>
      <c r="B364" s="19">
        <v>45791</v>
      </c>
      <c r="C364" s="16" t="s">
        <v>312</v>
      </c>
      <c r="D364" s="16" t="s">
        <v>15</v>
      </c>
      <c r="E364" s="16" t="s">
        <v>16</v>
      </c>
      <c r="F364" s="16" t="s">
        <v>36</v>
      </c>
      <c r="G364" s="16">
        <v>3</v>
      </c>
      <c r="H364" s="16">
        <v>119.54</v>
      </c>
      <c r="I364" s="16">
        <v>0</v>
      </c>
      <c r="J364" s="16">
        <v>358.62</v>
      </c>
      <c r="K364" s="16">
        <v>198.87</v>
      </c>
      <c r="L364" s="16">
        <v>159.75</v>
      </c>
      <c r="M364" s="16" t="s">
        <v>18</v>
      </c>
      <c r="N364" s="16" t="s">
        <v>727</v>
      </c>
      <c r="O364" s="17" t="s">
        <v>727</v>
      </c>
      <c r="P364" s="35">
        <f t="shared" si="11"/>
        <v>45791</v>
      </c>
      <c r="Q364" s="16" t="str">
        <f t="shared" si="12"/>
        <v>2025-05</v>
      </c>
      <c r="R364" s="50"/>
    </row>
    <row r="365" spans="1:18">
      <c r="A365" s="20" t="s">
        <v>661</v>
      </c>
      <c r="B365" s="10">
        <v>45840</v>
      </c>
      <c r="C365" s="11" t="s">
        <v>480</v>
      </c>
      <c r="D365" s="11" t="s">
        <v>88</v>
      </c>
      <c r="E365" s="11" t="s">
        <v>16</v>
      </c>
      <c r="F365" s="11" t="s">
        <v>30</v>
      </c>
      <c r="G365" s="11">
        <v>4</v>
      </c>
      <c r="H365" s="11">
        <v>105.95</v>
      </c>
      <c r="I365" s="11">
        <v>0.15</v>
      </c>
      <c r="J365" s="11">
        <v>360.23</v>
      </c>
      <c r="K365" s="11">
        <v>239.1</v>
      </c>
      <c r="L365" s="11">
        <v>121.13</v>
      </c>
      <c r="M365" s="11" t="s">
        <v>18</v>
      </c>
      <c r="N365" s="11" t="s">
        <v>727</v>
      </c>
      <c r="O365" s="18" t="s">
        <v>727</v>
      </c>
      <c r="P365" s="35">
        <f t="shared" si="11"/>
        <v>45840</v>
      </c>
      <c r="Q365" s="16" t="str">
        <f t="shared" si="12"/>
        <v>2025-07</v>
      </c>
      <c r="R365" s="50"/>
    </row>
    <row r="366" spans="1:18">
      <c r="A366" s="21" t="s">
        <v>236</v>
      </c>
      <c r="B366" s="19">
        <v>45962</v>
      </c>
      <c r="C366" s="16" t="s">
        <v>237</v>
      </c>
      <c r="D366" s="16" t="s">
        <v>88</v>
      </c>
      <c r="E366" s="16" t="s">
        <v>35</v>
      </c>
      <c r="F366" s="16" t="s">
        <v>30</v>
      </c>
      <c r="G366" s="16">
        <v>5</v>
      </c>
      <c r="H366" s="16">
        <v>76.34</v>
      </c>
      <c r="I366" s="16">
        <v>0.05</v>
      </c>
      <c r="J366" s="16">
        <v>362.62</v>
      </c>
      <c r="K366" s="16">
        <v>286.45</v>
      </c>
      <c r="L366" s="16">
        <v>76.17</v>
      </c>
      <c r="M366" s="16" t="s">
        <v>31</v>
      </c>
      <c r="N366" s="16" t="s">
        <v>727</v>
      </c>
      <c r="O366" s="17" t="s">
        <v>727</v>
      </c>
      <c r="P366" s="35">
        <f t="shared" si="11"/>
        <v>45962</v>
      </c>
      <c r="Q366" s="16" t="str">
        <f t="shared" si="12"/>
        <v>2025-11</v>
      </c>
      <c r="R366" s="50"/>
    </row>
    <row r="367" spans="1:18">
      <c r="A367" s="20" t="s">
        <v>702</v>
      </c>
      <c r="B367" s="10">
        <v>45895</v>
      </c>
      <c r="C367" s="11" t="s">
        <v>38</v>
      </c>
      <c r="D367" s="11" t="s">
        <v>70</v>
      </c>
      <c r="E367" s="11" t="s">
        <v>35</v>
      </c>
      <c r="F367" s="11" t="s">
        <v>23</v>
      </c>
      <c r="G367" s="11">
        <v>4</v>
      </c>
      <c r="H367" s="11">
        <v>115.1</v>
      </c>
      <c r="I367" s="11">
        <v>0.2</v>
      </c>
      <c r="J367" s="11">
        <v>368.32</v>
      </c>
      <c r="K367" s="11">
        <v>237.04</v>
      </c>
      <c r="L367" s="11">
        <v>131.28</v>
      </c>
      <c r="M367" s="11" t="s">
        <v>18</v>
      </c>
      <c r="N367" s="11" t="s">
        <v>727</v>
      </c>
      <c r="O367" s="18" t="s">
        <v>727</v>
      </c>
      <c r="P367" s="35">
        <f t="shared" si="11"/>
        <v>45895</v>
      </c>
      <c r="Q367" s="16" t="str">
        <f t="shared" si="12"/>
        <v>2025-08</v>
      </c>
      <c r="R367" s="50"/>
    </row>
    <row r="368" spans="1:18">
      <c r="A368" s="21" t="s">
        <v>598</v>
      </c>
      <c r="B368" s="19">
        <v>45985</v>
      </c>
      <c r="C368" s="16" t="s">
        <v>242</v>
      </c>
      <c r="D368" s="16" t="s">
        <v>61</v>
      </c>
      <c r="E368" s="16" t="s">
        <v>42</v>
      </c>
      <c r="F368" s="16" t="s">
        <v>30</v>
      </c>
      <c r="G368" s="16">
        <v>3</v>
      </c>
      <c r="H368" s="16">
        <v>154.32</v>
      </c>
      <c r="I368" s="16">
        <v>0.2</v>
      </c>
      <c r="J368" s="16">
        <v>370.37</v>
      </c>
      <c r="K368" s="16">
        <v>273.48</v>
      </c>
      <c r="L368" s="16">
        <v>96.89</v>
      </c>
      <c r="M368" s="16" t="s">
        <v>24</v>
      </c>
      <c r="N368" s="16" t="s">
        <v>727</v>
      </c>
      <c r="O368" s="17" t="s">
        <v>727</v>
      </c>
      <c r="P368" s="35">
        <f t="shared" si="11"/>
        <v>45985</v>
      </c>
      <c r="Q368" s="16" t="str">
        <f t="shared" si="12"/>
        <v>2025-11</v>
      </c>
      <c r="R368" s="50"/>
    </row>
    <row r="369" spans="1:18">
      <c r="A369" s="20" t="s">
        <v>327</v>
      </c>
      <c r="B369" s="10">
        <v>45716</v>
      </c>
      <c r="C369" s="11" t="s">
        <v>314</v>
      </c>
      <c r="D369" s="11" t="s">
        <v>45</v>
      </c>
      <c r="E369" s="11" t="s">
        <v>22</v>
      </c>
      <c r="F369" s="11" t="s">
        <v>23</v>
      </c>
      <c r="G369" s="11">
        <v>4</v>
      </c>
      <c r="H369" s="11">
        <v>103.52</v>
      </c>
      <c r="I369" s="11">
        <v>0.1</v>
      </c>
      <c r="J369" s="11">
        <v>372.67</v>
      </c>
      <c r="K369" s="11">
        <v>230.51</v>
      </c>
      <c r="L369" s="11">
        <v>142.16</v>
      </c>
      <c r="M369" s="11" t="s">
        <v>18</v>
      </c>
      <c r="N369" s="11" t="s">
        <v>727</v>
      </c>
      <c r="O369" s="18" t="s">
        <v>727</v>
      </c>
      <c r="P369" s="35">
        <f t="shared" si="11"/>
        <v>45716</v>
      </c>
      <c r="Q369" s="16" t="str">
        <f t="shared" si="12"/>
        <v>2025-02</v>
      </c>
      <c r="R369" s="50"/>
    </row>
    <row r="370" spans="1:18">
      <c r="A370" s="21" t="s">
        <v>439</v>
      </c>
      <c r="B370" s="19">
        <v>45732</v>
      </c>
      <c r="C370" s="16" t="s">
        <v>321</v>
      </c>
      <c r="D370" s="16" t="s">
        <v>110</v>
      </c>
      <c r="E370" s="16" t="s">
        <v>35</v>
      </c>
      <c r="F370" s="16" t="s">
        <v>30</v>
      </c>
      <c r="G370" s="16">
        <v>4</v>
      </c>
      <c r="H370" s="16">
        <v>93.34</v>
      </c>
      <c r="I370" s="16">
        <v>0</v>
      </c>
      <c r="J370" s="16">
        <v>373.36</v>
      </c>
      <c r="K370" s="16">
        <v>282.18</v>
      </c>
      <c r="L370" s="16">
        <v>91.18</v>
      </c>
      <c r="M370" s="16" t="s">
        <v>24</v>
      </c>
      <c r="N370" s="16" t="s">
        <v>727</v>
      </c>
      <c r="O370" s="17" t="s">
        <v>727</v>
      </c>
      <c r="P370" s="35">
        <f t="shared" si="11"/>
        <v>45732</v>
      </c>
      <c r="Q370" s="16" t="str">
        <f t="shared" si="12"/>
        <v>2025-03</v>
      </c>
      <c r="R370" s="50"/>
    </row>
    <row r="371" spans="1:18">
      <c r="A371" s="20" t="s">
        <v>255</v>
      </c>
      <c r="B371" s="10">
        <v>45733</v>
      </c>
      <c r="C371" s="11" t="s">
        <v>256</v>
      </c>
      <c r="D371" s="11" t="s">
        <v>110</v>
      </c>
      <c r="E371" s="11" t="s">
        <v>35</v>
      </c>
      <c r="F371" s="11" t="s">
        <v>30</v>
      </c>
      <c r="G371" s="11">
        <v>4</v>
      </c>
      <c r="H371" s="11">
        <v>93.67</v>
      </c>
      <c r="I371" s="11">
        <v>0</v>
      </c>
      <c r="J371" s="11">
        <v>374.68</v>
      </c>
      <c r="K371" s="11">
        <v>251.63</v>
      </c>
      <c r="L371" s="11">
        <v>123.05</v>
      </c>
      <c r="M371" s="11" t="s">
        <v>18</v>
      </c>
      <c r="N371" s="11" t="s">
        <v>727</v>
      </c>
      <c r="O371" s="18" t="s">
        <v>727</v>
      </c>
      <c r="P371" s="35">
        <f t="shared" si="11"/>
        <v>45733</v>
      </c>
      <c r="Q371" s="16" t="str">
        <f t="shared" si="12"/>
        <v>2025-03</v>
      </c>
      <c r="R371" s="50"/>
    </row>
    <row r="372" spans="1:18">
      <c r="A372" s="21" t="s">
        <v>694</v>
      </c>
      <c r="B372" s="19">
        <v>45970</v>
      </c>
      <c r="C372" s="16" t="s">
        <v>72</v>
      </c>
      <c r="D372" s="16" t="s">
        <v>77</v>
      </c>
      <c r="E372" s="16" t="s">
        <v>22</v>
      </c>
      <c r="F372" s="16" t="s">
        <v>30</v>
      </c>
      <c r="G372" s="16">
        <v>4</v>
      </c>
      <c r="H372" s="16">
        <v>94.22</v>
      </c>
      <c r="I372" s="16">
        <v>0</v>
      </c>
      <c r="J372" s="16">
        <v>376.88</v>
      </c>
      <c r="K372" s="16">
        <v>211.23</v>
      </c>
      <c r="L372" s="16">
        <v>165.65</v>
      </c>
      <c r="M372" s="16" t="s">
        <v>18</v>
      </c>
      <c r="N372" s="16" t="s">
        <v>727</v>
      </c>
      <c r="O372" s="17" t="s">
        <v>727</v>
      </c>
      <c r="P372" s="35">
        <f t="shared" si="11"/>
        <v>45970</v>
      </c>
      <c r="Q372" s="16" t="str">
        <f t="shared" si="12"/>
        <v>2025-11</v>
      </c>
      <c r="R372" s="50"/>
    </row>
    <row r="373" spans="1:18">
      <c r="A373" s="20" t="s">
        <v>226</v>
      </c>
      <c r="B373" s="10">
        <v>45749</v>
      </c>
      <c r="C373" s="11" t="s">
        <v>227</v>
      </c>
      <c r="D373" s="11" t="s">
        <v>15</v>
      </c>
      <c r="E373" s="11" t="s">
        <v>16</v>
      </c>
      <c r="F373" s="11" t="s">
        <v>36</v>
      </c>
      <c r="G373" s="11">
        <v>4</v>
      </c>
      <c r="H373" s="11">
        <v>105.2</v>
      </c>
      <c r="I373" s="11">
        <v>0.1</v>
      </c>
      <c r="J373" s="11">
        <v>378.72</v>
      </c>
      <c r="K373" s="11">
        <v>313.11</v>
      </c>
      <c r="L373" s="11">
        <v>65.61</v>
      </c>
      <c r="M373" s="11" t="s">
        <v>18</v>
      </c>
      <c r="N373" s="11" t="s">
        <v>727</v>
      </c>
      <c r="O373" s="18" t="s">
        <v>727</v>
      </c>
      <c r="P373" s="35">
        <f t="shared" si="11"/>
        <v>45749</v>
      </c>
      <c r="Q373" s="16" t="str">
        <f t="shared" si="12"/>
        <v>2025-04</v>
      </c>
      <c r="R373" s="50"/>
    </row>
    <row r="374" spans="1:18">
      <c r="A374" s="21" t="s">
        <v>381</v>
      </c>
      <c r="B374" s="19">
        <v>45693</v>
      </c>
      <c r="C374" s="16" t="s">
        <v>206</v>
      </c>
      <c r="D374" s="16" t="s">
        <v>105</v>
      </c>
      <c r="E374" s="16" t="s">
        <v>42</v>
      </c>
      <c r="F374" s="16" t="s">
        <v>30</v>
      </c>
      <c r="G374" s="16">
        <v>3</v>
      </c>
      <c r="H374" s="16">
        <v>133.66999999999999</v>
      </c>
      <c r="I374" s="16">
        <v>0.05</v>
      </c>
      <c r="J374" s="16">
        <v>380.96</v>
      </c>
      <c r="K374" s="16">
        <v>216.4</v>
      </c>
      <c r="L374" s="16">
        <v>164.56</v>
      </c>
      <c r="M374" s="16" t="s">
        <v>24</v>
      </c>
      <c r="N374" s="16" t="s">
        <v>727</v>
      </c>
      <c r="O374" s="17" t="s">
        <v>727</v>
      </c>
      <c r="P374" s="35">
        <f t="shared" si="11"/>
        <v>45693</v>
      </c>
      <c r="Q374" s="16" t="str">
        <f t="shared" si="12"/>
        <v>2025-02</v>
      </c>
      <c r="R374" s="50"/>
    </row>
    <row r="375" spans="1:18">
      <c r="A375" s="20" t="s">
        <v>149</v>
      </c>
      <c r="B375" s="10">
        <v>45676</v>
      </c>
      <c r="C375" s="11" t="s">
        <v>150</v>
      </c>
      <c r="D375" s="11" t="s">
        <v>61</v>
      </c>
      <c r="E375" s="11" t="s">
        <v>42</v>
      </c>
      <c r="F375" s="11" t="s">
        <v>36</v>
      </c>
      <c r="G375" s="11">
        <v>3</v>
      </c>
      <c r="H375" s="11">
        <v>141.66999999999999</v>
      </c>
      <c r="I375" s="11">
        <v>0.1</v>
      </c>
      <c r="J375" s="11">
        <v>382.51</v>
      </c>
      <c r="K375" s="11">
        <v>259.06</v>
      </c>
      <c r="L375" s="11">
        <v>123.45</v>
      </c>
      <c r="M375" s="11" t="s">
        <v>18</v>
      </c>
      <c r="N375" s="11" t="s">
        <v>727</v>
      </c>
      <c r="O375" s="18" t="s">
        <v>727</v>
      </c>
      <c r="P375" s="35">
        <f t="shared" si="11"/>
        <v>45676</v>
      </c>
      <c r="Q375" s="16" t="str">
        <f t="shared" si="12"/>
        <v>2025-01</v>
      </c>
      <c r="R375" s="50"/>
    </row>
    <row r="376" spans="1:18">
      <c r="A376" s="21" t="s">
        <v>683</v>
      </c>
      <c r="B376" s="19">
        <v>45696</v>
      </c>
      <c r="C376" s="16" t="s">
        <v>285</v>
      </c>
      <c r="D376" s="16" t="s">
        <v>110</v>
      </c>
      <c r="E376" s="16" t="s">
        <v>35</v>
      </c>
      <c r="F376" s="16" t="s">
        <v>30</v>
      </c>
      <c r="G376" s="16">
        <v>3</v>
      </c>
      <c r="H376" s="16">
        <v>134.63</v>
      </c>
      <c r="I376" s="16">
        <v>0.05</v>
      </c>
      <c r="J376" s="16">
        <v>383.7</v>
      </c>
      <c r="K376" s="16">
        <v>311.14</v>
      </c>
      <c r="L376" s="16">
        <v>72.56</v>
      </c>
      <c r="M376" s="16" t="s">
        <v>24</v>
      </c>
      <c r="N376" s="16" t="s">
        <v>727</v>
      </c>
      <c r="O376" s="17" t="s">
        <v>727</v>
      </c>
      <c r="P376" s="35">
        <f t="shared" si="11"/>
        <v>45696</v>
      </c>
      <c r="Q376" s="16" t="str">
        <f t="shared" si="12"/>
        <v>2025-02</v>
      </c>
      <c r="R376" s="50"/>
    </row>
    <row r="377" spans="1:18">
      <c r="A377" s="20" t="s">
        <v>502</v>
      </c>
      <c r="B377" s="10">
        <v>45738</v>
      </c>
      <c r="C377" s="11" t="s">
        <v>287</v>
      </c>
      <c r="D377" s="11" t="s">
        <v>77</v>
      </c>
      <c r="E377" s="11" t="s">
        <v>22</v>
      </c>
      <c r="F377" s="11" t="s">
        <v>36</v>
      </c>
      <c r="G377" s="11">
        <v>3</v>
      </c>
      <c r="H377" s="11">
        <v>135.44999999999999</v>
      </c>
      <c r="I377" s="11">
        <v>0.05</v>
      </c>
      <c r="J377" s="11">
        <v>386.03</v>
      </c>
      <c r="K377" s="11">
        <v>308.32</v>
      </c>
      <c r="L377" s="11">
        <v>77.709999999999994</v>
      </c>
      <c r="M377" s="11" t="s">
        <v>18</v>
      </c>
      <c r="N377" s="11" t="s">
        <v>727</v>
      </c>
      <c r="O377" s="18" t="s">
        <v>727</v>
      </c>
      <c r="P377" s="35">
        <f t="shared" si="11"/>
        <v>45738</v>
      </c>
      <c r="Q377" s="16" t="str">
        <f t="shared" si="12"/>
        <v>2025-03</v>
      </c>
      <c r="R377" s="50"/>
    </row>
    <row r="378" spans="1:18">
      <c r="A378" s="21" t="s">
        <v>631</v>
      </c>
      <c r="B378" s="19">
        <v>45783</v>
      </c>
      <c r="C378" s="16" t="s">
        <v>76</v>
      </c>
      <c r="D378" s="16" t="s">
        <v>105</v>
      </c>
      <c r="E378" s="16" t="s">
        <v>42</v>
      </c>
      <c r="F378" s="16" t="s">
        <v>36</v>
      </c>
      <c r="G378" s="16">
        <v>4</v>
      </c>
      <c r="H378" s="16">
        <v>-25</v>
      </c>
      <c r="I378" s="16">
        <v>0</v>
      </c>
      <c r="J378" s="16">
        <v>386.28</v>
      </c>
      <c r="K378" s="16">
        <v>222.14</v>
      </c>
      <c r="L378" s="16">
        <v>164.14</v>
      </c>
      <c r="M378" s="16" t="s">
        <v>18</v>
      </c>
      <c r="N378" s="16" t="s">
        <v>728</v>
      </c>
      <c r="O378" s="17" t="s">
        <v>727</v>
      </c>
      <c r="P378" s="35">
        <f t="shared" si="11"/>
        <v>45783</v>
      </c>
      <c r="Q378" s="16" t="str">
        <f t="shared" si="12"/>
        <v>2025-05</v>
      </c>
      <c r="R378" s="50"/>
    </row>
    <row r="379" spans="1:18">
      <c r="A379" s="20" t="s">
        <v>167</v>
      </c>
      <c r="B379" s="10">
        <v>45968</v>
      </c>
      <c r="C379" s="11" t="s">
        <v>168</v>
      </c>
      <c r="D379" s="11" t="s">
        <v>110</v>
      </c>
      <c r="E379" s="11" t="s">
        <v>35</v>
      </c>
      <c r="F379" s="11" t="s">
        <v>23</v>
      </c>
      <c r="G379" s="11">
        <v>3</v>
      </c>
      <c r="H379" s="11">
        <v>152.84</v>
      </c>
      <c r="I379" s="11">
        <v>0.15</v>
      </c>
      <c r="J379" s="11">
        <v>389.74</v>
      </c>
      <c r="K379" s="11">
        <v>269.16000000000003</v>
      </c>
      <c r="L379" s="11">
        <v>120.58</v>
      </c>
      <c r="M379" s="11" t="s">
        <v>18</v>
      </c>
      <c r="N379" s="11" t="s">
        <v>727</v>
      </c>
      <c r="O379" s="18" t="s">
        <v>727</v>
      </c>
      <c r="P379" s="35">
        <f t="shared" si="11"/>
        <v>45968</v>
      </c>
      <c r="Q379" s="16" t="str">
        <f t="shared" si="12"/>
        <v>2025-11</v>
      </c>
      <c r="R379" s="50"/>
    </row>
    <row r="380" spans="1:18">
      <c r="A380" s="21" t="s">
        <v>95</v>
      </c>
      <c r="B380" s="19">
        <v>45943</v>
      </c>
      <c r="C380" s="16" t="s">
        <v>96</v>
      </c>
      <c r="D380" s="16" t="s">
        <v>56</v>
      </c>
      <c r="E380" s="16" t="s">
        <v>16</v>
      </c>
      <c r="F380" s="16" t="s">
        <v>23</v>
      </c>
      <c r="G380" s="16">
        <v>5</v>
      </c>
      <c r="H380" s="16">
        <v>91.72</v>
      </c>
      <c r="I380" s="16">
        <v>0.15</v>
      </c>
      <c r="J380" s="16">
        <v>389.81</v>
      </c>
      <c r="K380" s="16">
        <v>265.19</v>
      </c>
      <c r="L380" s="16">
        <v>124.62</v>
      </c>
      <c r="M380" s="16" t="s">
        <v>31</v>
      </c>
      <c r="N380" s="16" t="s">
        <v>727</v>
      </c>
      <c r="O380" s="17" t="s">
        <v>727</v>
      </c>
      <c r="P380" s="35">
        <f t="shared" si="11"/>
        <v>45943</v>
      </c>
      <c r="Q380" s="16" t="str">
        <f t="shared" si="12"/>
        <v>2025-10</v>
      </c>
      <c r="R380" s="50"/>
    </row>
    <row r="381" spans="1:18">
      <c r="A381" s="20" t="s">
        <v>585</v>
      </c>
      <c r="B381" s="10">
        <v>45974</v>
      </c>
      <c r="C381" s="11" t="s">
        <v>359</v>
      </c>
      <c r="D381" s="11" t="s">
        <v>70</v>
      </c>
      <c r="E381" s="11" t="s">
        <v>35</v>
      </c>
      <c r="F381" s="11" t="s">
        <v>23</v>
      </c>
      <c r="G381" s="11">
        <v>4</v>
      </c>
      <c r="H381" s="11">
        <v>97.87</v>
      </c>
      <c r="I381" s="11">
        <v>0</v>
      </c>
      <c r="J381" s="11">
        <v>391.48</v>
      </c>
      <c r="K381" s="11">
        <v>329.6</v>
      </c>
      <c r="L381" s="11">
        <v>61.88</v>
      </c>
      <c r="M381" s="11" t="s">
        <v>31</v>
      </c>
      <c r="N381" s="11" t="s">
        <v>727</v>
      </c>
      <c r="O381" s="18" t="s">
        <v>727</v>
      </c>
      <c r="P381" s="35">
        <f t="shared" si="11"/>
        <v>45974</v>
      </c>
      <c r="Q381" s="16" t="str">
        <f t="shared" si="12"/>
        <v>2025-11</v>
      </c>
      <c r="R381" s="50"/>
    </row>
    <row r="382" spans="1:18">
      <c r="A382" s="21" t="s">
        <v>284</v>
      </c>
      <c r="B382" s="19">
        <v>45716</v>
      </c>
      <c r="C382" s="16" t="s">
        <v>285</v>
      </c>
      <c r="D382" s="16" t="s">
        <v>56</v>
      </c>
      <c r="E382" s="16" t="s">
        <v>16</v>
      </c>
      <c r="F382" s="16" t="s">
        <v>23</v>
      </c>
      <c r="G382" s="16">
        <v>3</v>
      </c>
      <c r="H382" s="16">
        <v>163.44</v>
      </c>
      <c r="I382" s="16">
        <v>0.2</v>
      </c>
      <c r="J382" s="16">
        <v>392.26</v>
      </c>
      <c r="K382" s="16">
        <v>303.22000000000003</v>
      </c>
      <c r="L382" s="16">
        <v>89.04</v>
      </c>
      <c r="M382" s="16" t="s">
        <v>24</v>
      </c>
      <c r="N382" s="16" t="s">
        <v>727</v>
      </c>
      <c r="O382" s="17" t="s">
        <v>727</v>
      </c>
      <c r="P382" s="35">
        <f t="shared" si="11"/>
        <v>45716</v>
      </c>
      <c r="Q382" s="16" t="str">
        <f t="shared" si="12"/>
        <v>2025-02</v>
      </c>
      <c r="R382" s="50"/>
    </row>
    <row r="383" spans="1:18">
      <c r="A383" s="20" t="s">
        <v>595</v>
      </c>
      <c r="B383" s="10">
        <v>45825</v>
      </c>
      <c r="C383" s="11" t="s">
        <v>170</v>
      </c>
      <c r="D383" s="11" t="s">
        <v>34</v>
      </c>
      <c r="E383" s="11" t="s">
        <v>35</v>
      </c>
      <c r="F383" s="11" t="s">
        <v>30</v>
      </c>
      <c r="G383" s="11">
        <v>4</v>
      </c>
      <c r="H383" s="11">
        <v>104.14</v>
      </c>
      <c r="I383" s="11">
        <v>0.05</v>
      </c>
      <c r="J383" s="11">
        <v>395.73</v>
      </c>
      <c r="K383" s="11">
        <v>301.49</v>
      </c>
      <c r="L383" s="11">
        <v>94.24</v>
      </c>
      <c r="M383" s="11" t="s">
        <v>18</v>
      </c>
      <c r="N383" s="11" t="s">
        <v>727</v>
      </c>
      <c r="O383" s="18" t="s">
        <v>727</v>
      </c>
      <c r="P383" s="35">
        <f t="shared" si="11"/>
        <v>45825</v>
      </c>
      <c r="Q383" s="16" t="str">
        <f t="shared" si="12"/>
        <v>2025-06</v>
      </c>
      <c r="R383" s="50"/>
    </row>
    <row r="384" spans="1:18">
      <c r="A384" s="21" t="s">
        <v>563</v>
      </c>
      <c r="B384" s="19">
        <v>45951</v>
      </c>
      <c r="C384" s="16" t="s">
        <v>278</v>
      </c>
      <c r="D384" s="16" t="s">
        <v>41</v>
      </c>
      <c r="E384" s="16" t="s">
        <v>42</v>
      </c>
      <c r="F384" s="16" t="s">
        <v>36</v>
      </c>
      <c r="G384" s="16">
        <v>3</v>
      </c>
      <c r="H384" s="16">
        <v>138.91</v>
      </c>
      <c r="I384" s="16">
        <v>0.05</v>
      </c>
      <c r="J384" s="16">
        <v>395.89</v>
      </c>
      <c r="K384" s="16">
        <v>330.46</v>
      </c>
      <c r="L384" s="16">
        <v>65.430000000000007</v>
      </c>
      <c r="M384" s="16" t="s">
        <v>31</v>
      </c>
      <c r="N384" s="16" t="s">
        <v>727</v>
      </c>
      <c r="O384" s="17" t="s">
        <v>727</v>
      </c>
      <c r="P384" s="35">
        <f t="shared" si="11"/>
        <v>45951</v>
      </c>
      <c r="Q384" s="16" t="str">
        <f t="shared" si="12"/>
        <v>2025-10</v>
      </c>
      <c r="R384" s="50"/>
    </row>
    <row r="385" spans="1:18">
      <c r="A385" s="20" t="s">
        <v>700</v>
      </c>
      <c r="B385" s="10">
        <v>45695</v>
      </c>
      <c r="C385" s="11" t="s">
        <v>194</v>
      </c>
      <c r="D385" s="11" t="s">
        <v>139</v>
      </c>
      <c r="E385" s="11" t="s">
        <v>16</v>
      </c>
      <c r="F385" s="11" t="s">
        <v>30</v>
      </c>
      <c r="G385" s="11">
        <v>4</v>
      </c>
      <c r="H385" s="11">
        <v>110.73</v>
      </c>
      <c r="I385" s="11">
        <v>0.1</v>
      </c>
      <c r="J385" s="11">
        <v>398.63</v>
      </c>
      <c r="K385" s="11">
        <v>242.24</v>
      </c>
      <c r="L385" s="11">
        <v>156.38999999999999</v>
      </c>
      <c r="M385" s="11" t="s">
        <v>24</v>
      </c>
      <c r="N385" s="11" t="s">
        <v>727</v>
      </c>
      <c r="O385" s="18" t="s">
        <v>727</v>
      </c>
      <c r="P385" s="35">
        <f t="shared" si="11"/>
        <v>45695</v>
      </c>
      <c r="Q385" s="16" t="str">
        <f t="shared" si="12"/>
        <v>2025-02</v>
      </c>
      <c r="R385" s="50"/>
    </row>
    <row r="386" spans="1:18">
      <c r="A386" s="21" t="s">
        <v>201</v>
      </c>
      <c r="B386" s="19">
        <v>45719</v>
      </c>
      <c r="C386" s="16" t="s">
        <v>202</v>
      </c>
      <c r="D386" s="16" t="s">
        <v>29</v>
      </c>
      <c r="E386" s="16" t="s">
        <v>22</v>
      </c>
      <c r="F386" s="16" t="s">
        <v>17</v>
      </c>
      <c r="G386" s="16">
        <v>3</v>
      </c>
      <c r="H386" s="16">
        <v>156.87</v>
      </c>
      <c r="I386" s="16">
        <v>0.15</v>
      </c>
      <c r="J386" s="16">
        <v>400.02</v>
      </c>
      <c r="K386" s="16">
        <v>250.96</v>
      </c>
      <c r="L386" s="16">
        <v>149.06</v>
      </c>
      <c r="M386" s="16" t="s">
        <v>18</v>
      </c>
      <c r="N386" s="16" t="s">
        <v>727</v>
      </c>
      <c r="O386" s="17" t="s">
        <v>727</v>
      </c>
      <c r="P386" s="35">
        <f t="shared" ref="P386:P449" si="13">IF(ISNUMBER(B386),INT(B386),"")</f>
        <v>45719</v>
      </c>
      <c r="Q386" s="16" t="str">
        <f t="shared" ref="Q386:Q449" si="14">IF(ISNUMBER(B386),TEXT(B386,"yyyy-mm"),"Invalid/Missing")</f>
        <v>2025-03</v>
      </c>
      <c r="R386" s="50"/>
    </row>
    <row r="387" spans="1:18">
      <c r="A387" s="20" t="s">
        <v>619</v>
      </c>
      <c r="B387" s="10">
        <v>46002</v>
      </c>
      <c r="C387" s="11" t="s">
        <v>150</v>
      </c>
      <c r="D387" s="11" t="s">
        <v>45</v>
      </c>
      <c r="E387" s="11" t="s">
        <v>22</v>
      </c>
      <c r="F387" s="11" t="s">
        <v>30</v>
      </c>
      <c r="G387" s="11">
        <v>3</v>
      </c>
      <c r="H387" s="11">
        <v>140.57</v>
      </c>
      <c r="I387" s="11">
        <v>0.05</v>
      </c>
      <c r="J387" s="11">
        <v>400.62</v>
      </c>
      <c r="K387" s="11">
        <v>245.13</v>
      </c>
      <c r="L387" s="11">
        <v>155.49</v>
      </c>
      <c r="M387" s="11" t="s">
        <v>18</v>
      </c>
      <c r="N387" s="11" t="s">
        <v>727</v>
      </c>
      <c r="O387" s="18" t="s">
        <v>727</v>
      </c>
      <c r="P387" s="35">
        <f t="shared" si="13"/>
        <v>46002</v>
      </c>
      <c r="Q387" s="16" t="str">
        <f t="shared" si="14"/>
        <v>2025-12</v>
      </c>
      <c r="R387" s="50"/>
    </row>
    <row r="388" spans="1:18">
      <c r="A388" s="21" t="s">
        <v>561</v>
      </c>
      <c r="B388" s="19">
        <v>45714</v>
      </c>
      <c r="C388" s="16" t="s">
        <v>116</v>
      </c>
      <c r="D388" s="16" t="s">
        <v>139</v>
      </c>
      <c r="E388" s="16" t="s">
        <v>16</v>
      </c>
      <c r="F388" s="16" t="s">
        <v>17</v>
      </c>
      <c r="G388" s="16">
        <v>4</v>
      </c>
      <c r="H388" s="16">
        <v>118.56</v>
      </c>
      <c r="I388" s="16">
        <v>0.15</v>
      </c>
      <c r="J388" s="16">
        <v>403.1</v>
      </c>
      <c r="K388" s="16">
        <v>336.27</v>
      </c>
      <c r="L388" s="16">
        <v>66.83</v>
      </c>
      <c r="M388" s="16" t="s">
        <v>24</v>
      </c>
      <c r="N388" s="16" t="s">
        <v>727</v>
      </c>
      <c r="O388" s="17" t="s">
        <v>727</v>
      </c>
      <c r="P388" s="35">
        <f t="shared" si="13"/>
        <v>45714</v>
      </c>
      <c r="Q388" s="16" t="str">
        <f t="shared" si="14"/>
        <v>2025-02</v>
      </c>
      <c r="R388" s="50"/>
    </row>
    <row r="389" spans="1:18">
      <c r="A389" s="20" t="s">
        <v>361</v>
      </c>
      <c r="B389" s="10">
        <v>46021</v>
      </c>
      <c r="C389" s="11" t="s">
        <v>50</v>
      </c>
      <c r="D389" s="11" t="s">
        <v>15</v>
      </c>
      <c r="E389" s="11" t="s">
        <v>16</v>
      </c>
      <c r="F389" s="11" t="s">
        <v>17</v>
      </c>
      <c r="G389" s="11">
        <v>4</v>
      </c>
      <c r="H389" s="11">
        <v>112.56</v>
      </c>
      <c r="I389" s="11">
        <v>0.1</v>
      </c>
      <c r="J389" s="11">
        <v>405.22</v>
      </c>
      <c r="K389" s="11">
        <v>321.7</v>
      </c>
      <c r="L389" s="11">
        <v>83.52</v>
      </c>
      <c r="M389" s="11" t="s">
        <v>18</v>
      </c>
      <c r="N389" s="11" t="s">
        <v>727</v>
      </c>
      <c r="O389" s="18" t="s">
        <v>727</v>
      </c>
      <c r="P389" s="35">
        <f t="shared" si="13"/>
        <v>46021</v>
      </c>
      <c r="Q389" s="16" t="str">
        <f t="shared" si="14"/>
        <v>2025-12</v>
      </c>
      <c r="R389" s="50"/>
    </row>
    <row r="390" spans="1:18">
      <c r="A390" s="21" t="s">
        <v>616</v>
      </c>
      <c r="B390" s="19">
        <v>45751</v>
      </c>
      <c r="C390" s="16" t="s">
        <v>52</v>
      </c>
      <c r="D390" s="16" t="s">
        <v>45</v>
      </c>
      <c r="E390" s="16" t="s">
        <v>22</v>
      </c>
      <c r="F390" s="16" t="s">
        <v>17</v>
      </c>
      <c r="G390" s="16">
        <v>5</v>
      </c>
      <c r="H390" s="16">
        <v>81.06</v>
      </c>
      <c r="I390" s="16">
        <v>0</v>
      </c>
      <c r="J390" s="16">
        <v>405.3</v>
      </c>
      <c r="K390" s="16">
        <v>295.52</v>
      </c>
      <c r="L390" s="16">
        <v>109.78</v>
      </c>
      <c r="M390" s="16" t="s">
        <v>18</v>
      </c>
      <c r="N390" s="16" t="s">
        <v>727</v>
      </c>
      <c r="O390" s="17" t="s">
        <v>727</v>
      </c>
      <c r="P390" s="35">
        <f t="shared" si="13"/>
        <v>45751</v>
      </c>
      <c r="Q390" s="16" t="str">
        <f t="shared" si="14"/>
        <v>2025-04</v>
      </c>
      <c r="R390" s="50"/>
    </row>
    <row r="391" spans="1:18">
      <c r="A391" s="20" t="s">
        <v>46</v>
      </c>
      <c r="B391" s="10">
        <v>46002</v>
      </c>
      <c r="C391" s="11" t="s">
        <v>47</v>
      </c>
      <c r="D391" s="11" t="s">
        <v>48</v>
      </c>
      <c r="E391" s="11" t="s">
        <v>35</v>
      </c>
      <c r="F391" s="11" t="s">
        <v>30</v>
      </c>
      <c r="G391" s="11">
        <v>4</v>
      </c>
      <c r="H391" s="11">
        <v>101.34</v>
      </c>
      <c r="I391" s="11">
        <v>0</v>
      </c>
      <c r="J391" s="11">
        <v>405.36</v>
      </c>
      <c r="K391" s="11">
        <v>320.5</v>
      </c>
      <c r="L391" s="11">
        <v>84.86</v>
      </c>
      <c r="M391" s="11" t="s">
        <v>18</v>
      </c>
      <c r="N391" s="11" t="s">
        <v>727</v>
      </c>
      <c r="O391" s="18" t="s">
        <v>727</v>
      </c>
      <c r="P391" s="35">
        <f t="shared" si="13"/>
        <v>46002</v>
      </c>
      <c r="Q391" s="16" t="str">
        <f t="shared" si="14"/>
        <v>2025-12</v>
      </c>
      <c r="R391" s="50"/>
    </row>
    <row r="392" spans="1:18">
      <c r="A392" s="21" t="s">
        <v>677</v>
      </c>
      <c r="B392" s="19">
        <v>45769</v>
      </c>
      <c r="C392" s="16" t="s">
        <v>294</v>
      </c>
      <c r="D392" s="16" t="s">
        <v>77</v>
      </c>
      <c r="E392" s="16" t="s">
        <v>22</v>
      </c>
      <c r="F392" s="16" t="s">
        <v>36</v>
      </c>
      <c r="G392" s="16">
        <v>5</v>
      </c>
      <c r="H392" s="16">
        <v>90.3</v>
      </c>
      <c r="I392" s="16">
        <v>0.1</v>
      </c>
      <c r="J392" s="16">
        <v>406.35</v>
      </c>
      <c r="K392" s="16">
        <v>260.51</v>
      </c>
      <c r="L392" s="16">
        <v>145.84</v>
      </c>
      <c r="M392" s="16" t="s">
        <v>18</v>
      </c>
      <c r="N392" s="16" t="s">
        <v>727</v>
      </c>
      <c r="O392" s="17" t="s">
        <v>727</v>
      </c>
      <c r="P392" s="35">
        <f t="shared" si="13"/>
        <v>45769</v>
      </c>
      <c r="Q392" s="16" t="str">
        <f t="shared" si="14"/>
        <v>2025-04</v>
      </c>
      <c r="R392" s="50"/>
    </row>
    <row r="393" spans="1:18">
      <c r="A393" s="20" t="s">
        <v>557</v>
      </c>
      <c r="B393" s="10">
        <v>45871</v>
      </c>
      <c r="C393" s="11" t="s">
        <v>297</v>
      </c>
      <c r="D393" s="11" t="s">
        <v>48</v>
      </c>
      <c r="E393" s="11" t="s">
        <v>35</v>
      </c>
      <c r="F393" s="11" t="s">
        <v>23</v>
      </c>
      <c r="G393" s="11">
        <v>3</v>
      </c>
      <c r="H393" s="11">
        <v>150.72</v>
      </c>
      <c r="I393" s="11">
        <v>0.1</v>
      </c>
      <c r="J393" s="11">
        <v>406.94</v>
      </c>
      <c r="K393" s="11">
        <v>259.36</v>
      </c>
      <c r="L393" s="11">
        <v>147.58000000000001</v>
      </c>
      <c r="M393" s="11" t="s">
        <v>31</v>
      </c>
      <c r="N393" s="11" t="s">
        <v>727</v>
      </c>
      <c r="O393" s="18" t="s">
        <v>727</v>
      </c>
      <c r="P393" s="35">
        <f t="shared" si="13"/>
        <v>45871</v>
      </c>
      <c r="Q393" s="16" t="str">
        <f t="shared" si="14"/>
        <v>2025-08</v>
      </c>
      <c r="R393" s="50"/>
    </row>
    <row r="394" spans="1:18">
      <c r="A394" s="21" t="s">
        <v>464</v>
      </c>
      <c r="B394" s="19">
        <v>45720</v>
      </c>
      <c r="C394" s="16" t="s">
        <v>164</v>
      </c>
      <c r="D394" s="16" t="s">
        <v>77</v>
      </c>
      <c r="E394" s="16" t="s">
        <v>22</v>
      </c>
      <c r="F394" s="16" t="s">
        <v>17</v>
      </c>
      <c r="G394" s="16">
        <v>3</v>
      </c>
      <c r="H394" s="16">
        <v>159.78</v>
      </c>
      <c r="I394" s="16">
        <v>0.15</v>
      </c>
      <c r="J394" s="16">
        <v>407.44</v>
      </c>
      <c r="K394" s="16">
        <v>285.83999999999997</v>
      </c>
      <c r="L394" s="16">
        <v>121.6</v>
      </c>
      <c r="M394" s="16" t="s">
        <v>18</v>
      </c>
      <c r="N394" s="16" t="s">
        <v>727</v>
      </c>
      <c r="O394" s="17" t="s">
        <v>727</v>
      </c>
      <c r="P394" s="35">
        <f t="shared" si="13"/>
        <v>45720</v>
      </c>
      <c r="Q394" s="16" t="str">
        <f t="shared" si="14"/>
        <v>2025-03</v>
      </c>
      <c r="R394" s="50"/>
    </row>
    <row r="395" spans="1:18">
      <c r="A395" s="20" t="s">
        <v>89</v>
      </c>
      <c r="B395" s="10">
        <v>46006</v>
      </c>
      <c r="C395" s="11" t="s">
        <v>90</v>
      </c>
      <c r="D395" s="11" t="s">
        <v>29</v>
      </c>
      <c r="E395" s="11" t="s">
        <v>22</v>
      </c>
      <c r="F395" s="11" t="s">
        <v>23</v>
      </c>
      <c r="G395" s="11">
        <v>4</v>
      </c>
      <c r="H395" s="11">
        <v>107.88</v>
      </c>
      <c r="I395" s="11">
        <v>0.05</v>
      </c>
      <c r="J395" s="11">
        <v>409.94</v>
      </c>
      <c r="K395" s="11">
        <v>341.09</v>
      </c>
      <c r="L395" s="11">
        <v>68.849999999999994</v>
      </c>
      <c r="M395" s="11" t="s">
        <v>18</v>
      </c>
      <c r="N395" s="11" t="s">
        <v>727</v>
      </c>
      <c r="O395" s="18" t="s">
        <v>727</v>
      </c>
      <c r="P395" s="35">
        <f t="shared" si="13"/>
        <v>46006</v>
      </c>
      <c r="Q395" s="16" t="str">
        <f t="shared" si="14"/>
        <v>2025-12</v>
      </c>
      <c r="R395" s="50"/>
    </row>
    <row r="396" spans="1:18">
      <c r="A396" s="21" t="s">
        <v>442</v>
      </c>
      <c r="B396" s="19">
        <v>46013</v>
      </c>
      <c r="C396" s="16" t="s">
        <v>432</v>
      </c>
      <c r="D396" s="16" t="s">
        <v>88</v>
      </c>
      <c r="E396" s="16" t="s">
        <v>16</v>
      </c>
      <c r="F396" s="16" t="s">
        <v>36</v>
      </c>
      <c r="G396" s="16">
        <v>5</v>
      </c>
      <c r="H396" s="16">
        <v>87.42</v>
      </c>
      <c r="I396" s="16">
        <v>0.05</v>
      </c>
      <c r="J396" s="16">
        <v>415.24</v>
      </c>
      <c r="K396" s="16">
        <v>282.58999999999997</v>
      </c>
      <c r="L396" s="16">
        <v>132.65</v>
      </c>
      <c r="M396" s="16" t="s">
        <v>31</v>
      </c>
      <c r="N396" s="16" t="s">
        <v>727</v>
      </c>
      <c r="O396" s="17" t="s">
        <v>727</v>
      </c>
      <c r="P396" s="35">
        <f t="shared" si="13"/>
        <v>46013</v>
      </c>
      <c r="Q396" s="16" t="str">
        <f t="shared" si="14"/>
        <v>2025-12</v>
      </c>
      <c r="R396" s="50"/>
    </row>
    <row r="397" spans="1:18">
      <c r="A397" s="20" t="s">
        <v>590</v>
      </c>
      <c r="B397" s="10">
        <v>45708</v>
      </c>
      <c r="C397" s="11" t="s">
        <v>109</v>
      </c>
      <c r="D397" s="11" t="s">
        <v>88</v>
      </c>
      <c r="E397" s="11" t="s">
        <v>16</v>
      </c>
      <c r="F397" s="11" t="s">
        <v>30</v>
      </c>
      <c r="G397" s="11">
        <v>3</v>
      </c>
      <c r="H397" s="11">
        <v>138.55000000000001</v>
      </c>
      <c r="I397" s="11">
        <v>1.25</v>
      </c>
      <c r="J397" s="11">
        <v>415.65</v>
      </c>
      <c r="K397" s="11">
        <v>292.68</v>
      </c>
      <c r="L397" s="11">
        <v>122.97</v>
      </c>
      <c r="M397" s="11" t="s">
        <v>18</v>
      </c>
      <c r="N397" s="11" t="s">
        <v>728</v>
      </c>
      <c r="O397" s="18" t="s">
        <v>727</v>
      </c>
      <c r="P397" s="35">
        <f t="shared" si="13"/>
        <v>45708</v>
      </c>
      <c r="Q397" s="16" t="str">
        <f t="shared" si="14"/>
        <v>2025-02</v>
      </c>
      <c r="R397" s="50"/>
    </row>
    <row r="398" spans="1:18">
      <c r="A398" s="21" t="s">
        <v>316</v>
      </c>
      <c r="B398" s="19">
        <v>45774</v>
      </c>
      <c r="C398" s="16" t="s">
        <v>20</v>
      </c>
      <c r="D398" s="16" t="s">
        <v>29</v>
      </c>
      <c r="E398" s="16" t="s">
        <v>22</v>
      </c>
      <c r="F398" s="16" t="s">
        <v>23</v>
      </c>
      <c r="G398" s="16">
        <v>4</v>
      </c>
      <c r="H398" s="16"/>
      <c r="I398" s="16">
        <v>0</v>
      </c>
      <c r="J398" s="16">
        <v>416.2</v>
      </c>
      <c r="K398" s="16">
        <v>248.99</v>
      </c>
      <c r="L398" s="16">
        <v>167.21</v>
      </c>
      <c r="M398" s="16" t="s">
        <v>31</v>
      </c>
      <c r="N398" s="16" t="s">
        <v>728</v>
      </c>
      <c r="O398" s="17" t="s">
        <v>727</v>
      </c>
      <c r="P398" s="35">
        <f t="shared" si="13"/>
        <v>45774</v>
      </c>
      <c r="Q398" s="16" t="str">
        <f t="shared" si="14"/>
        <v>2025-04</v>
      </c>
      <c r="R398" s="50"/>
    </row>
    <row r="399" spans="1:18">
      <c r="A399" s="20" t="s">
        <v>356</v>
      </c>
      <c r="B399" s="10">
        <v>45936</v>
      </c>
      <c r="C399" s="11" t="s">
        <v>170</v>
      </c>
      <c r="D399" s="11" t="s">
        <v>41</v>
      </c>
      <c r="E399" s="11" t="s">
        <v>42</v>
      </c>
      <c r="F399" s="11" t="s">
        <v>30</v>
      </c>
      <c r="G399" s="11">
        <v>4</v>
      </c>
      <c r="H399" s="11">
        <v>122.83</v>
      </c>
      <c r="I399" s="11">
        <v>0.15</v>
      </c>
      <c r="J399" s="11">
        <v>417.62</v>
      </c>
      <c r="K399" s="11">
        <v>325.19</v>
      </c>
      <c r="L399" s="11">
        <v>92.43</v>
      </c>
      <c r="M399" s="11" t="s">
        <v>18</v>
      </c>
      <c r="N399" s="11" t="s">
        <v>727</v>
      </c>
      <c r="O399" s="18" t="s">
        <v>727</v>
      </c>
      <c r="P399" s="35">
        <f t="shared" si="13"/>
        <v>45936</v>
      </c>
      <c r="Q399" s="16" t="str">
        <f t="shared" si="14"/>
        <v>2025-10</v>
      </c>
      <c r="R399" s="50"/>
    </row>
    <row r="400" spans="1:18">
      <c r="A400" s="21" t="s">
        <v>277</v>
      </c>
      <c r="B400" s="19">
        <v>45686</v>
      </c>
      <c r="C400" s="16" t="s">
        <v>278</v>
      </c>
      <c r="D400" s="16" t="s">
        <v>53</v>
      </c>
      <c r="E400" s="16" t="s">
        <v>42</v>
      </c>
      <c r="F400" s="16" t="s">
        <v>30</v>
      </c>
      <c r="G400" s="16">
        <v>5</v>
      </c>
      <c r="H400" s="16">
        <v>98.98</v>
      </c>
      <c r="I400" s="16">
        <v>0.15</v>
      </c>
      <c r="J400" s="16">
        <v>420.66</v>
      </c>
      <c r="K400" s="16">
        <v>332.17</v>
      </c>
      <c r="L400" s="16">
        <v>88.49</v>
      </c>
      <c r="M400" s="16" t="s">
        <v>24</v>
      </c>
      <c r="N400" s="16" t="s">
        <v>727</v>
      </c>
      <c r="O400" s="17" t="s">
        <v>727</v>
      </c>
      <c r="P400" s="35">
        <f t="shared" si="13"/>
        <v>45686</v>
      </c>
      <c r="Q400" s="16" t="str">
        <f t="shared" si="14"/>
        <v>2025-01</v>
      </c>
      <c r="R400" s="50"/>
    </row>
    <row r="401" spans="1:18">
      <c r="A401" s="20" t="s">
        <v>296</v>
      </c>
      <c r="B401" s="10">
        <v>46010</v>
      </c>
      <c r="C401" s="11" t="s">
        <v>297</v>
      </c>
      <c r="D401" s="11" t="s">
        <v>77</v>
      </c>
      <c r="E401" s="11" t="s">
        <v>22</v>
      </c>
      <c r="F401" s="11" t="s">
        <v>17</v>
      </c>
      <c r="G401" s="11">
        <v>3</v>
      </c>
      <c r="H401" s="11">
        <v>156.69</v>
      </c>
      <c r="I401" s="11">
        <v>0.1</v>
      </c>
      <c r="J401" s="11">
        <v>423.06</v>
      </c>
      <c r="K401" s="11">
        <v>298.83999999999997</v>
      </c>
      <c r="L401" s="11">
        <v>124.22</v>
      </c>
      <c r="M401" s="11" t="s">
        <v>24</v>
      </c>
      <c r="N401" s="11" t="s">
        <v>727</v>
      </c>
      <c r="O401" s="18" t="s">
        <v>727</v>
      </c>
      <c r="P401" s="35">
        <f t="shared" si="13"/>
        <v>46010</v>
      </c>
      <c r="Q401" s="16" t="str">
        <f t="shared" si="14"/>
        <v>2025-12</v>
      </c>
      <c r="R401" s="50"/>
    </row>
    <row r="402" spans="1:18">
      <c r="A402" s="21" t="s">
        <v>101</v>
      </c>
      <c r="B402" s="19">
        <v>45818</v>
      </c>
      <c r="C402" s="16" t="s">
        <v>102</v>
      </c>
      <c r="D402" s="16" t="s">
        <v>70</v>
      </c>
      <c r="E402" s="16" t="s">
        <v>35</v>
      </c>
      <c r="F402" s="16" t="s">
        <v>23</v>
      </c>
      <c r="G402" s="16">
        <v>5</v>
      </c>
      <c r="H402" s="16">
        <v>106.43</v>
      </c>
      <c r="I402" s="16">
        <v>0.2</v>
      </c>
      <c r="J402" s="16">
        <v>425.72</v>
      </c>
      <c r="K402" s="16">
        <v>243.77</v>
      </c>
      <c r="L402" s="16">
        <v>181.95</v>
      </c>
      <c r="M402" s="16" t="s">
        <v>31</v>
      </c>
      <c r="N402" s="16" t="s">
        <v>727</v>
      </c>
      <c r="O402" s="17" t="s">
        <v>727</v>
      </c>
      <c r="P402" s="35">
        <f t="shared" si="13"/>
        <v>45818</v>
      </c>
      <c r="Q402" s="16" t="str">
        <f t="shared" si="14"/>
        <v>2025-06</v>
      </c>
      <c r="R402" s="50"/>
    </row>
    <row r="403" spans="1:18">
      <c r="A403" s="20" t="s">
        <v>556</v>
      </c>
      <c r="B403" s="10">
        <v>45792</v>
      </c>
      <c r="C403" s="11" t="s">
        <v>414</v>
      </c>
      <c r="D403" s="11" t="s">
        <v>53</v>
      </c>
      <c r="E403" s="11" t="s">
        <v>42</v>
      </c>
      <c r="F403" s="11" t="s">
        <v>17</v>
      </c>
      <c r="G403" s="11">
        <v>4</v>
      </c>
      <c r="H403" s="11">
        <v>118.4</v>
      </c>
      <c r="I403" s="11">
        <v>0.1</v>
      </c>
      <c r="J403" s="11">
        <v>426.24</v>
      </c>
      <c r="K403" s="11">
        <v>307.08</v>
      </c>
      <c r="L403" s="11">
        <v>119.16</v>
      </c>
      <c r="M403" s="11" t="s">
        <v>31</v>
      </c>
      <c r="N403" s="11" t="s">
        <v>727</v>
      </c>
      <c r="O403" s="18" t="s">
        <v>727</v>
      </c>
      <c r="P403" s="35">
        <f t="shared" si="13"/>
        <v>45792</v>
      </c>
      <c r="Q403" s="16" t="str">
        <f t="shared" si="14"/>
        <v>2025-05</v>
      </c>
      <c r="R403" s="50"/>
    </row>
    <row r="404" spans="1:18">
      <c r="A404" s="21" t="s">
        <v>133</v>
      </c>
      <c r="B404" s="19">
        <v>45821</v>
      </c>
      <c r="C404" s="16" t="s">
        <v>127</v>
      </c>
      <c r="D404" s="16" t="s">
        <v>105</v>
      </c>
      <c r="E404" s="16" t="s">
        <v>42</v>
      </c>
      <c r="F404" s="16" t="s">
        <v>30</v>
      </c>
      <c r="G404" s="16">
        <v>3</v>
      </c>
      <c r="H404" s="16">
        <v>158.93</v>
      </c>
      <c r="I404" s="16">
        <v>0.1</v>
      </c>
      <c r="J404" s="16">
        <v>429.11</v>
      </c>
      <c r="K404" s="16">
        <v>339.45</v>
      </c>
      <c r="L404" s="16">
        <v>89.66</v>
      </c>
      <c r="M404" s="16" t="s">
        <v>18</v>
      </c>
      <c r="N404" s="16" t="s">
        <v>727</v>
      </c>
      <c r="O404" s="17" t="s">
        <v>727</v>
      </c>
      <c r="P404" s="35">
        <f t="shared" si="13"/>
        <v>45821</v>
      </c>
      <c r="Q404" s="16" t="str">
        <f t="shared" si="14"/>
        <v>2025-06</v>
      </c>
      <c r="R404" s="50"/>
    </row>
    <row r="405" spans="1:18">
      <c r="A405" s="20" t="s">
        <v>663</v>
      </c>
      <c r="B405" s="10">
        <v>45934</v>
      </c>
      <c r="C405" s="11" t="s">
        <v>379</v>
      </c>
      <c r="D405" s="11" t="s">
        <v>53</v>
      </c>
      <c r="E405" s="11" t="s">
        <v>42</v>
      </c>
      <c r="F405" s="11" t="s">
        <v>30</v>
      </c>
      <c r="G405" s="11">
        <v>3</v>
      </c>
      <c r="H405" s="11">
        <v>151.25</v>
      </c>
      <c r="I405" s="11">
        <v>0.05</v>
      </c>
      <c r="J405" s="11">
        <v>431.06</v>
      </c>
      <c r="K405" s="11">
        <v>348.77</v>
      </c>
      <c r="L405" s="11">
        <v>82.29</v>
      </c>
      <c r="M405" s="11" t="s">
        <v>18</v>
      </c>
      <c r="N405" s="11" t="s">
        <v>727</v>
      </c>
      <c r="O405" s="18" t="s">
        <v>727</v>
      </c>
      <c r="P405" s="35">
        <f t="shared" si="13"/>
        <v>45934</v>
      </c>
      <c r="Q405" s="16" t="str">
        <f t="shared" si="14"/>
        <v>2025-10</v>
      </c>
      <c r="R405" s="50"/>
    </row>
    <row r="406" spans="1:18">
      <c r="A406" s="21" t="s">
        <v>391</v>
      </c>
      <c r="B406" s="19">
        <v>45820</v>
      </c>
      <c r="C406" s="16" t="s">
        <v>220</v>
      </c>
      <c r="D406" s="16" t="s">
        <v>41</v>
      </c>
      <c r="E406" s="16" t="s">
        <v>42</v>
      </c>
      <c r="F406" s="16" t="s">
        <v>17</v>
      </c>
      <c r="G406" s="16">
        <v>3</v>
      </c>
      <c r="H406" s="16">
        <v>143.88999999999999</v>
      </c>
      <c r="I406" s="16">
        <v>0</v>
      </c>
      <c r="J406" s="16">
        <v>431.67</v>
      </c>
      <c r="K406" s="16">
        <v>247.9</v>
      </c>
      <c r="L406" s="16">
        <v>183.77</v>
      </c>
      <c r="M406" s="16" t="s">
        <v>31</v>
      </c>
      <c r="N406" s="16" t="s">
        <v>727</v>
      </c>
      <c r="O406" s="17" t="s">
        <v>727</v>
      </c>
      <c r="P406" s="35">
        <f t="shared" si="13"/>
        <v>45820</v>
      </c>
      <c r="Q406" s="16" t="str">
        <f t="shared" si="14"/>
        <v>2025-06</v>
      </c>
      <c r="R406" s="50"/>
    </row>
    <row r="407" spans="1:18">
      <c r="A407" s="20" t="s">
        <v>222</v>
      </c>
      <c r="B407" s="10">
        <v>45752</v>
      </c>
      <c r="C407" s="11" t="s">
        <v>94</v>
      </c>
      <c r="D407" s="11" t="s">
        <v>88</v>
      </c>
      <c r="E407" s="11" t="s">
        <v>16</v>
      </c>
      <c r="F407" s="11" t="s">
        <v>17</v>
      </c>
      <c r="G407" s="11">
        <v>5</v>
      </c>
      <c r="H407" s="11">
        <v>91.65</v>
      </c>
      <c r="I407" s="11">
        <v>0.05</v>
      </c>
      <c r="J407" s="11">
        <v>435.34</v>
      </c>
      <c r="K407" s="11">
        <v>340.25</v>
      </c>
      <c r="L407" s="11">
        <v>95.09</v>
      </c>
      <c r="M407" s="11" t="s">
        <v>18</v>
      </c>
      <c r="N407" s="11" t="s">
        <v>727</v>
      </c>
      <c r="O407" s="18" t="s">
        <v>727</v>
      </c>
      <c r="P407" s="35">
        <f t="shared" si="13"/>
        <v>45752</v>
      </c>
      <c r="Q407" s="16" t="str">
        <f t="shared" si="14"/>
        <v>2025-04</v>
      </c>
      <c r="R407" s="50"/>
    </row>
    <row r="408" spans="1:18">
      <c r="A408" s="21" t="s">
        <v>249</v>
      </c>
      <c r="B408" s="19">
        <v>45891</v>
      </c>
      <c r="C408" s="16" t="s">
        <v>20</v>
      </c>
      <c r="D408" s="16" t="s">
        <v>21</v>
      </c>
      <c r="E408" s="16" t="s">
        <v>22</v>
      </c>
      <c r="F408" s="16" t="s">
        <v>17</v>
      </c>
      <c r="G408" s="16">
        <v>4</v>
      </c>
      <c r="H408" s="16">
        <v>129.08000000000001</v>
      </c>
      <c r="I408" s="16">
        <v>0.15</v>
      </c>
      <c r="J408" s="16">
        <v>438.87</v>
      </c>
      <c r="K408" s="16">
        <v>323.64</v>
      </c>
      <c r="L408" s="16">
        <v>115.23</v>
      </c>
      <c r="M408" s="16" t="s">
        <v>18</v>
      </c>
      <c r="N408" s="16" t="s">
        <v>727</v>
      </c>
      <c r="O408" s="17" t="s">
        <v>727</v>
      </c>
      <c r="P408" s="35">
        <f t="shared" si="13"/>
        <v>45891</v>
      </c>
      <c r="Q408" s="16" t="str">
        <f t="shared" si="14"/>
        <v>2025-08</v>
      </c>
      <c r="R408" s="50"/>
    </row>
    <row r="409" spans="1:18">
      <c r="A409" s="20" t="s">
        <v>658</v>
      </c>
      <c r="B409" s="10">
        <v>45961</v>
      </c>
      <c r="C409" s="11" t="s">
        <v>131</v>
      </c>
      <c r="D409" s="11" t="s">
        <v>45</v>
      </c>
      <c r="E409" s="11" t="s">
        <v>22</v>
      </c>
      <c r="F409" s="11" t="s">
        <v>36</v>
      </c>
      <c r="G409" s="11">
        <v>3</v>
      </c>
      <c r="H409" s="11">
        <v>154.06</v>
      </c>
      <c r="I409" s="11">
        <v>0.05</v>
      </c>
      <c r="J409" s="11">
        <v>439.07</v>
      </c>
      <c r="K409" s="11">
        <v>243.29</v>
      </c>
      <c r="L409" s="11">
        <v>195.78</v>
      </c>
      <c r="M409" s="11" t="s">
        <v>24</v>
      </c>
      <c r="N409" s="11" t="s">
        <v>727</v>
      </c>
      <c r="O409" s="18" t="s">
        <v>727</v>
      </c>
      <c r="P409" s="35">
        <f t="shared" si="13"/>
        <v>45961</v>
      </c>
      <c r="Q409" s="16" t="str">
        <f t="shared" si="14"/>
        <v>2025-10</v>
      </c>
      <c r="R409" s="50"/>
    </row>
    <row r="410" spans="1:18">
      <c r="A410" s="21" t="s">
        <v>292</v>
      </c>
      <c r="B410" s="19">
        <v>45918</v>
      </c>
      <c r="C410" s="16" t="s">
        <v>79</v>
      </c>
      <c r="D410" s="16" t="s">
        <v>70</v>
      </c>
      <c r="E410" s="16" t="s">
        <v>35</v>
      </c>
      <c r="F410" s="16" t="s">
        <v>17</v>
      </c>
      <c r="G410" s="16">
        <v>3</v>
      </c>
      <c r="H410" s="16">
        <v>172.37</v>
      </c>
      <c r="I410" s="16">
        <v>0.15</v>
      </c>
      <c r="J410" s="16">
        <v>439.54</v>
      </c>
      <c r="K410" s="16">
        <v>348.49</v>
      </c>
      <c r="L410" s="16">
        <v>91.05</v>
      </c>
      <c r="M410" s="16" t="s">
        <v>18</v>
      </c>
      <c r="N410" s="16" t="s">
        <v>727</v>
      </c>
      <c r="O410" s="17" t="s">
        <v>727</v>
      </c>
      <c r="P410" s="35">
        <f t="shared" si="13"/>
        <v>45918</v>
      </c>
      <c r="Q410" s="16" t="str">
        <f t="shared" si="14"/>
        <v>2025-09</v>
      </c>
      <c r="R410" s="50"/>
    </row>
    <row r="411" spans="1:18">
      <c r="A411" s="20" t="s">
        <v>339</v>
      </c>
      <c r="B411" s="10">
        <v>45685</v>
      </c>
      <c r="C411" s="11" t="s">
        <v>220</v>
      </c>
      <c r="D411" s="11" t="s">
        <v>88</v>
      </c>
      <c r="E411" s="11" t="s">
        <v>16</v>
      </c>
      <c r="F411" s="11" t="s">
        <v>17</v>
      </c>
      <c r="G411" s="11">
        <v>4</v>
      </c>
      <c r="H411" s="11">
        <v>109.99</v>
      </c>
      <c r="I411" s="11">
        <v>0</v>
      </c>
      <c r="J411" s="11">
        <v>439.96</v>
      </c>
      <c r="K411" s="11">
        <v>293.60000000000002</v>
      </c>
      <c r="L411" s="11">
        <v>146.36000000000001</v>
      </c>
      <c r="M411" s="11" t="s">
        <v>18</v>
      </c>
      <c r="N411" s="11" t="s">
        <v>727</v>
      </c>
      <c r="O411" s="18" t="s">
        <v>727</v>
      </c>
      <c r="P411" s="35">
        <f t="shared" si="13"/>
        <v>45685</v>
      </c>
      <c r="Q411" s="16" t="str">
        <f t="shared" si="14"/>
        <v>2025-01</v>
      </c>
      <c r="R411" s="50"/>
    </row>
    <row r="412" spans="1:18">
      <c r="A412" s="21" t="s">
        <v>602</v>
      </c>
      <c r="B412" s="19">
        <v>45785</v>
      </c>
      <c r="C412" s="16" t="s">
        <v>174</v>
      </c>
      <c r="D412" s="16" t="s">
        <v>70</v>
      </c>
      <c r="E412" s="16" t="s">
        <v>35</v>
      </c>
      <c r="F412" s="16" t="s">
        <v>30</v>
      </c>
      <c r="G412" s="16">
        <v>4</v>
      </c>
      <c r="H412" s="16">
        <v>123.49</v>
      </c>
      <c r="I412" s="16">
        <v>0.1</v>
      </c>
      <c r="J412" s="16">
        <v>444.56</v>
      </c>
      <c r="K412" s="16">
        <v>271.05</v>
      </c>
      <c r="L412" s="16">
        <v>173.51</v>
      </c>
      <c r="M412" s="16" t="s">
        <v>18</v>
      </c>
      <c r="N412" s="16" t="s">
        <v>727</v>
      </c>
      <c r="O412" s="17" t="s">
        <v>727</v>
      </c>
      <c r="P412" s="35">
        <f t="shared" si="13"/>
        <v>45785</v>
      </c>
      <c r="Q412" s="16" t="str">
        <f t="shared" si="14"/>
        <v>2025-05</v>
      </c>
      <c r="R412" s="50"/>
    </row>
    <row r="413" spans="1:18">
      <c r="A413" s="20" t="s">
        <v>559</v>
      </c>
      <c r="B413" s="10">
        <v>45935</v>
      </c>
      <c r="C413" s="11" t="s">
        <v>303</v>
      </c>
      <c r="D413" s="11" t="s">
        <v>21</v>
      </c>
      <c r="E413" s="11" t="s">
        <v>22</v>
      </c>
      <c r="F413" s="11" t="s">
        <v>17</v>
      </c>
      <c r="G413" s="11">
        <v>5</v>
      </c>
      <c r="H413" s="11">
        <v>99.29</v>
      </c>
      <c r="I413" s="11">
        <v>0.1</v>
      </c>
      <c r="J413" s="11">
        <v>446.81</v>
      </c>
      <c r="K413" s="11">
        <v>332.15</v>
      </c>
      <c r="L413" s="11">
        <v>114.66</v>
      </c>
      <c r="M413" s="11" t="s">
        <v>24</v>
      </c>
      <c r="N413" s="11" t="s">
        <v>727</v>
      </c>
      <c r="O413" s="18" t="s">
        <v>727</v>
      </c>
      <c r="P413" s="35">
        <f t="shared" si="13"/>
        <v>45935</v>
      </c>
      <c r="Q413" s="16" t="str">
        <f t="shared" si="14"/>
        <v>2025-10</v>
      </c>
      <c r="R413" s="50"/>
    </row>
    <row r="414" spans="1:18">
      <c r="A414" s="21" t="s">
        <v>648</v>
      </c>
      <c r="B414" s="19">
        <v>45926</v>
      </c>
      <c r="C414" s="16" t="s">
        <v>419</v>
      </c>
      <c r="D414" s="16" t="s">
        <v>77</v>
      </c>
      <c r="E414" s="16" t="s">
        <v>22</v>
      </c>
      <c r="F414" s="16" t="s">
        <v>36</v>
      </c>
      <c r="G414" s="16">
        <v>5</v>
      </c>
      <c r="H414" s="16">
        <v>101.16</v>
      </c>
      <c r="I414" s="16">
        <v>0.1</v>
      </c>
      <c r="J414" s="16">
        <v>455.22</v>
      </c>
      <c r="K414" s="16">
        <v>292.27999999999997</v>
      </c>
      <c r="L414" s="16">
        <v>162.94</v>
      </c>
      <c r="M414" s="16" t="s">
        <v>31</v>
      </c>
      <c r="N414" s="16" t="s">
        <v>727</v>
      </c>
      <c r="O414" s="17" t="s">
        <v>727</v>
      </c>
      <c r="P414" s="35">
        <f t="shared" si="13"/>
        <v>45926</v>
      </c>
      <c r="Q414" s="16" t="str">
        <f t="shared" si="14"/>
        <v>2025-09</v>
      </c>
      <c r="R414" s="50"/>
    </row>
    <row r="415" spans="1:18">
      <c r="A415" s="20" t="s">
        <v>203</v>
      </c>
      <c r="B415" s="10">
        <v>45932</v>
      </c>
      <c r="C415" s="11" t="s">
        <v>204</v>
      </c>
      <c r="D415" s="11" t="s">
        <v>77</v>
      </c>
      <c r="E415" s="11" t="s">
        <v>22</v>
      </c>
      <c r="F415" s="11" t="s">
        <v>30</v>
      </c>
      <c r="G415" s="11">
        <v>3</v>
      </c>
      <c r="H415" s="11">
        <v>152.24</v>
      </c>
      <c r="I415" s="11">
        <v>0</v>
      </c>
      <c r="J415" s="11">
        <v>456.72</v>
      </c>
      <c r="K415" s="11">
        <v>383.83</v>
      </c>
      <c r="L415" s="11">
        <v>72.89</v>
      </c>
      <c r="M415" s="11" t="s">
        <v>24</v>
      </c>
      <c r="N415" s="11" t="s">
        <v>727</v>
      </c>
      <c r="O415" s="18" t="s">
        <v>727</v>
      </c>
      <c r="P415" s="35">
        <f t="shared" si="13"/>
        <v>45932</v>
      </c>
      <c r="Q415" s="16" t="str">
        <f t="shared" si="14"/>
        <v>2025-10</v>
      </c>
      <c r="R415" s="50"/>
    </row>
    <row r="416" spans="1:18">
      <c r="A416" s="21" t="s">
        <v>493</v>
      </c>
      <c r="B416" s="19">
        <v>45849</v>
      </c>
      <c r="C416" s="16" t="s">
        <v>278</v>
      </c>
      <c r="D416" s="16" t="s">
        <v>61</v>
      </c>
      <c r="E416" s="16" t="s">
        <v>42</v>
      </c>
      <c r="F416" s="16" t="s">
        <v>36</v>
      </c>
      <c r="G416" s="16">
        <v>3</v>
      </c>
      <c r="H416" s="16">
        <v>153.16</v>
      </c>
      <c r="I416" s="16">
        <v>0</v>
      </c>
      <c r="J416" s="16">
        <v>459.48</v>
      </c>
      <c r="K416" s="16">
        <v>316.52</v>
      </c>
      <c r="L416" s="16">
        <v>142.96</v>
      </c>
      <c r="M416" s="16" t="s">
        <v>31</v>
      </c>
      <c r="N416" s="16" t="s">
        <v>727</v>
      </c>
      <c r="O416" s="17" t="s">
        <v>727</v>
      </c>
      <c r="P416" s="35">
        <f t="shared" si="13"/>
        <v>45849</v>
      </c>
      <c r="Q416" s="16" t="str">
        <f t="shared" si="14"/>
        <v>2025-07</v>
      </c>
      <c r="R416" s="50"/>
    </row>
    <row r="417" spans="1:18">
      <c r="A417" s="20" t="s">
        <v>488</v>
      </c>
      <c r="B417" s="10">
        <v>45695</v>
      </c>
      <c r="C417" s="11" t="s">
        <v>204</v>
      </c>
      <c r="D417" s="11" t="s">
        <v>88</v>
      </c>
      <c r="E417" s="11" t="s">
        <v>16</v>
      </c>
      <c r="F417" s="11" t="s">
        <v>30</v>
      </c>
      <c r="G417" s="11">
        <v>3</v>
      </c>
      <c r="H417" s="11">
        <v>161.51</v>
      </c>
      <c r="I417" s="11">
        <v>0.05</v>
      </c>
      <c r="J417" s="11">
        <v>460.3</v>
      </c>
      <c r="K417" s="11">
        <v>337</v>
      </c>
      <c r="L417" s="11">
        <v>123.3</v>
      </c>
      <c r="M417" s="11" t="s">
        <v>18</v>
      </c>
      <c r="N417" s="11" t="s">
        <v>727</v>
      </c>
      <c r="O417" s="18" t="s">
        <v>727</v>
      </c>
      <c r="P417" s="35">
        <f t="shared" si="13"/>
        <v>45695</v>
      </c>
      <c r="Q417" s="16" t="str">
        <f t="shared" si="14"/>
        <v>2025-02</v>
      </c>
      <c r="R417" s="50"/>
    </row>
    <row r="418" spans="1:18">
      <c r="A418" s="21" t="s">
        <v>115</v>
      </c>
      <c r="B418" s="19">
        <v>46007</v>
      </c>
      <c r="C418" s="16" t="s">
        <v>116</v>
      </c>
      <c r="D418" s="16" t="s">
        <v>29</v>
      </c>
      <c r="E418" s="16" t="s">
        <v>22</v>
      </c>
      <c r="F418" s="16" t="s">
        <v>17</v>
      </c>
      <c r="G418" s="16">
        <v>4</v>
      </c>
      <c r="H418" s="16">
        <v>115.14</v>
      </c>
      <c r="I418" s="16">
        <v>0</v>
      </c>
      <c r="J418" s="16">
        <v>460.56</v>
      </c>
      <c r="K418" s="16">
        <v>260.45</v>
      </c>
      <c r="L418" s="16">
        <v>200.11</v>
      </c>
      <c r="M418" s="16" t="s">
        <v>24</v>
      </c>
      <c r="N418" s="16" t="s">
        <v>727</v>
      </c>
      <c r="O418" s="17" t="s">
        <v>727</v>
      </c>
      <c r="P418" s="35">
        <f t="shared" si="13"/>
        <v>46007</v>
      </c>
      <c r="Q418" s="16" t="str">
        <f t="shared" si="14"/>
        <v>2025-12</v>
      </c>
      <c r="R418" s="50"/>
    </row>
    <row r="419" spans="1:18">
      <c r="A419" s="20" t="s">
        <v>319</v>
      </c>
      <c r="B419" s="10">
        <v>46010</v>
      </c>
      <c r="C419" s="11" t="s">
        <v>74</v>
      </c>
      <c r="D419" s="11" t="s">
        <v>21</v>
      </c>
      <c r="E419" s="11" t="s">
        <v>22</v>
      </c>
      <c r="F419" s="11" t="s">
        <v>30</v>
      </c>
      <c r="G419" s="11">
        <v>4</v>
      </c>
      <c r="H419" s="11">
        <v>128.82</v>
      </c>
      <c r="I419" s="11">
        <v>0.1</v>
      </c>
      <c r="J419" s="11">
        <v>463.75</v>
      </c>
      <c r="K419" s="11">
        <v>256.42</v>
      </c>
      <c r="L419" s="11">
        <v>207.33</v>
      </c>
      <c r="M419" s="11" t="s">
        <v>24</v>
      </c>
      <c r="N419" s="11" t="s">
        <v>727</v>
      </c>
      <c r="O419" s="18" t="s">
        <v>727</v>
      </c>
      <c r="P419" s="35">
        <f t="shared" si="13"/>
        <v>46010</v>
      </c>
      <c r="Q419" s="16" t="str">
        <f t="shared" si="14"/>
        <v>2025-12</v>
      </c>
      <c r="R419" s="50"/>
    </row>
    <row r="420" spans="1:18">
      <c r="A420" s="21" t="s">
        <v>402</v>
      </c>
      <c r="B420" s="19">
        <v>45965</v>
      </c>
      <c r="C420" s="16" t="s">
        <v>72</v>
      </c>
      <c r="D420" s="16" t="s">
        <v>21</v>
      </c>
      <c r="E420" s="16" t="s">
        <v>22</v>
      </c>
      <c r="F420" s="16" t="s">
        <v>23</v>
      </c>
      <c r="G420" s="16">
        <v>4</v>
      </c>
      <c r="H420" s="16">
        <v>116.91</v>
      </c>
      <c r="I420" s="16">
        <v>0</v>
      </c>
      <c r="J420" s="16">
        <v>467.64</v>
      </c>
      <c r="K420" s="16">
        <v>289.83999999999997</v>
      </c>
      <c r="L420" s="16">
        <v>177.8</v>
      </c>
      <c r="M420" s="16" t="s">
        <v>24</v>
      </c>
      <c r="N420" s="16" t="s">
        <v>727</v>
      </c>
      <c r="O420" s="17" t="s">
        <v>727</v>
      </c>
      <c r="P420" s="35">
        <f t="shared" si="13"/>
        <v>45965</v>
      </c>
      <c r="Q420" s="16" t="str">
        <f t="shared" si="14"/>
        <v>2025-11</v>
      </c>
      <c r="R420" s="50"/>
    </row>
    <row r="421" spans="1:18">
      <c r="A421" s="20" t="s">
        <v>593</v>
      </c>
      <c r="B421" s="10">
        <v>45928</v>
      </c>
      <c r="C421" s="11" t="s">
        <v>125</v>
      </c>
      <c r="D421" s="11" t="s">
        <v>88</v>
      </c>
      <c r="E421" s="11" t="s">
        <v>16</v>
      </c>
      <c r="F421" s="11" t="s">
        <v>23</v>
      </c>
      <c r="G421" s="11">
        <v>4</v>
      </c>
      <c r="H421" s="11">
        <v>123.42</v>
      </c>
      <c r="I421" s="11">
        <v>0.05</v>
      </c>
      <c r="J421" s="11">
        <v>469</v>
      </c>
      <c r="K421" s="11">
        <v>335.24</v>
      </c>
      <c r="L421" s="11">
        <v>133.76</v>
      </c>
      <c r="M421" s="11" t="s">
        <v>18</v>
      </c>
      <c r="N421" s="11" t="s">
        <v>727</v>
      </c>
      <c r="O421" s="18" t="s">
        <v>727</v>
      </c>
      <c r="P421" s="35">
        <f t="shared" si="13"/>
        <v>45928</v>
      </c>
      <c r="Q421" s="16" t="str">
        <f t="shared" si="14"/>
        <v>2025-09</v>
      </c>
      <c r="R421" s="50"/>
    </row>
    <row r="422" spans="1:18">
      <c r="A422" s="21" t="s">
        <v>641</v>
      </c>
      <c r="B422" s="19">
        <v>45992</v>
      </c>
      <c r="C422" s="16" t="s">
        <v>204</v>
      </c>
      <c r="D422" s="16" t="s">
        <v>15</v>
      </c>
      <c r="E422" s="16" t="s">
        <v>16</v>
      </c>
      <c r="F422" s="16" t="s">
        <v>23</v>
      </c>
      <c r="G422" s="16">
        <v>4</v>
      </c>
      <c r="H422" s="16">
        <v>119.51</v>
      </c>
      <c r="I422" s="16">
        <v>0</v>
      </c>
      <c r="J422" s="16">
        <v>478.04</v>
      </c>
      <c r="K422" s="16">
        <v>316.77</v>
      </c>
      <c r="L422" s="16">
        <v>161.27000000000001</v>
      </c>
      <c r="M422" s="16" t="s">
        <v>31</v>
      </c>
      <c r="N422" s="16" t="s">
        <v>727</v>
      </c>
      <c r="O422" s="17" t="s">
        <v>727</v>
      </c>
      <c r="P422" s="35">
        <f t="shared" si="13"/>
        <v>45992</v>
      </c>
      <c r="Q422" s="16" t="str">
        <f t="shared" si="14"/>
        <v>2025-12</v>
      </c>
      <c r="R422" s="50"/>
    </row>
    <row r="423" spans="1:18">
      <c r="A423" s="20" t="s">
        <v>430</v>
      </c>
      <c r="B423" s="10">
        <v>45711</v>
      </c>
      <c r="C423" s="11" t="s">
        <v>268</v>
      </c>
      <c r="D423" s="11" t="s">
        <v>48</v>
      </c>
      <c r="E423" s="11" t="s">
        <v>35</v>
      </c>
      <c r="F423" s="11" t="s">
        <v>30</v>
      </c>
      <c r="G423" s="11">
        <v>5</v>
      </c>
      <c r="H423" s="11">
        <v>100.66</v>
      </c>
      <c r="I423" s="11">
        <v>0.05</v>
      </c>
      <c r="J423" s="11">
        <v>478.13</v>
      </c>
      <c r="K423" s="11">
        <v>384.61</v>
      </c>
      <c r="L423" s="11">
        <v>93.52</v>
      </c>
      <c r="M423" s="11" t="s">
        <v>18</v>
      </c>
      <c r="N423" s="11" t="s">
        <v>727</v>
      </c>
      <c r="O423" s="18" t="s">
        <v>727</v>
      </c>
      <c r="P423" s="35">
        <f t="shared" si="13"/>
        <v>45711</v>
      </c>
      <c r="Q423" s="16" t="str">
        <f t="shared" si="14"/>
        <v>2025-02</v>
      </c>
      <c r="R423" s="50"/>
    </row>
    <row r="424" spans="1:18">
      <c r="A424" s="21" t="s">
        <v>612</v>
      </c>
      <c r="B424" s="19">
        <v>45987</v>
      </c>
      <c r="C424" s="16" t="s">
        <v>240</v>
      </c>
      <c r="D424" s="16" t="s">
        <v>110</v>
      </c>
      <c r="E424" s="16" t="s">
        <v>35</v>
      </c>
      <c r="F424" s="16" t="s">
        <v>17</v>
      </c>
      <c r="G424" s="16">
        <v>4</v>
      </c>
      <c r="H424" s="16">
        <v>132.82</v>
      </c>
      <c r="I424" s="16">
        <v>0.1</v>
      </c>
      <c r="J424" s="16">
        <v>478.15</v>
      </c>
      <c r="K424" s="16">
        <v>369.05</v>
      </c>
      <c r="L424" s="16">
        <v>109.1</v>
      </c>
      <c r="M424" s="16" t="s">
        <v>18</v>
      </c>
      <c r="N424" s="16" t="s">
        <v>727</v>
      </c>
      <c r="O424" s="17" t="s">
        <v>727</v>
      </c>
      <c r="P424" s="35">
        <f t="shared" si="13"/>
        <v>45987</v>
      </c>
      <c r="Q424" s="16" t="str">
        <f t="shared" si="14"/>
        <v>2025-11</v>
      </c>
      <c r="R424" s="50"/>
    </row>
    <row r="425" spans="1:18">
      <c r="A425" s="20" t="s">
        <v>613</v>
      </c>
      <c r="B425" s="10">
        <v>45750</v>
      </c>
      <c r="C425" s="11" t="s">
        <v>50</v>
      </c>
      <c r="D425" s="11" t="s">
        <v>41</v>
      </c>
      <c r="E425" s="11" t="s">
        <v>42</v>
      </c>
      <c r="F425" s="11" t="s">
        <v>30</v>
      </c>
      <c r="G425" s="11">
        <v>3</v>
      </c>
      <c r="H425" s="11">
        <v>161.09</v>
      </c>
      <c r="I425" s="11">
        <v>0</v>
      </c>
      <c r="J425" s="11">
        <v>483.27</v>
      </c>
      <c r="K425" s="11">
        <v>382.83</v>
      </c>
      <c r="L425" s="11">
        <v>100.44</v>
      </c>
      <c r="M425" s="11" t="s">
        <v>24</v>
      </c>
      <c r="N425" s="11" t="s">
        <v>727</v>
      </c>
      <c r="O425" s="18" t="s">
        <v>727</v>
      </c>
      <c r="P425" s="35">
        <f t="shared" si="13"/>
        <v>45750</v>
      </c>
      <c r="Q425" s="16" t="str">
        <f t="shared" si="14"/>
        <v>2025-04</v>
      </c>
      <c r="R425" s="50"/>
    </row>
    <row r="426" spans="1:18">
      <c r="A426" s="21" t="s">
        <v>261</v>
      </c>
      <c r="B426" s="19">
        <v>45969</v>
      </c>
      <c r="C426" s="16" t="s">
        <v>92</v>
      </c>
      <c r="D426" s="16" t="s">
        <v>15</v>
      </c>
      <c r="E426" s="16" t="s">
        <v>16</v>
      </c>
      <c r="F426" s="16" t="s">
        <v>36</v>
      </c>
      <c r="G426" s="16">
        <v>3</v>
      </c>
      <c r="H426" s="16">
        <v>171.28</v>
      </c>
      <c r="I426" s="16">
        <v>0.05</v>
      </c>
      <c r="J426" s="16">
        <v>488.15</v>
      </c>
      <c r="K426" s="16">
        <v>408.2</v>
      </c>
      <c r="L426" s="16">
        <v>79.95</v>
      </c>
      <c r="M426" s="16" t="s">
        <v>31</v>
      </c>
      <c r="N426" s="16" t="s">
        <v>727</v>
      </c>
      <c r="O426" s="17" t="s">
        <v>727</v>
      </c>
      <c r="P426" s="35">
        <f t="shared" si="13"/>
        <v>45969</v>
      </c>
      <c r="Q426" s="16" t="str">
        <f t="shared" si="14"/>
        <v>2025-11</v>
      </c>
      <c r="R426" s="50"/>
    </row>
    <row r="427" spans="1:18">
      <c r="A427" s="20" t="s">
        <v>660</v>
      </c>
      <c r="B427" s="10">
        <v>45828</v>
      </c>
      <c r="C427" s="11" t="s">
        <v>454</v>
      </c>
      <c r="D427" s="11" t="s">
        <v>70</v>
      </c>
      <c r="E427" s="11" t="s">
        <v>35</v>
      </c>
      <c r="F427" s="11" t="s">
        <v>30</v>
      </c>
      <c r="G427" s="11">
        <v>5</v>
      </c>
      <c r="H427" s="11">
        <v>108.95</v>
      </c>
      <c r="I427" s="11">
        <v>0.1</v>
      </c>
      <c r="J427" s="11">
        <v>490.28</v>
      </c>
      <c r="K427" s="11">
        <v>415.37</v>
      </c>
      <c r="L427" s="11">
        <v>74.91</v>
      </c>
      <c r="M427" s="11" t="s">
        <v>18</v>
      </c>
      <c r="N427" s="11" t="s">
        <v>727</v>
      </c>
      <c r="O427" s="18" t="s">
        <v>727</v>
      </c>
      <c r="P427" s="35">
        <f t="shared" si="13"/>
        <v>45828</v>
      </c>
      <c r="Q427" s="16" t="str">
        <f t="shared" si="14"/>
        <v>2025-06</v>
      </c>
      <c r="R427" s="50"/>
    </row>
    <row r="428" spans="1:18">
      <c r="A428" s="21" t="s">
        <v>543</v>
      </c>
      <c r="B428" s="19">
        <v>45973</v>
      </c>
      <c r="C428" s="16" t="s">
        <v>118</v>
      </c>
      <c r="D428" s="16" t="s">
        <v>29</v>
      </c>
      <c r="E428" s="16" t="s">
        <v>22</v>
      </c>
      <c r="F428" s="16" t="s">
        <v>17</v>
      </c>
      <c r="G428" s="16">
        <v>4</v>
      </c>
      <c r="H428" s="16">
        <v>124.12</v>
      </c>
      <c r="I428" s="16">
        <v>0</v>
      </c>
      <c r="J428" s="16">
        <v>496.48</v>
      </c>
      <c r="K428" s="16">
        <v>279.36</v>
      </c>
      <c r="L428" s="16">
        <v>217.12</v>
      </c>
      <c r="M428" s="16" t="s">
        <v>31</v>
      </c>
      <c r="N428" s="16" t="s">
        <v>727</v>
      </c>
      <c r="O428" s="17" t="s">
        <v>727</v>
      </c>
      <c r="P428" s="35">
        <f t="shared" si="13"/>
        <v>45973</v>
      </c>
      <c r="Q428" s="16" t="str">
        <f t="shared" si="14"/>
        <v>2025-11</v>
      </c>
      <c r="R428" s="50"/>
    </row>
    <row r="429" spans="1:18">
      <c r="A429" s="20" t="s">
        <v>489</v>
      </c>
      <c r="B429" s="10">
        <v>45724</v>
      </c>
      <c r="C429" s="11" t="s">
        <v>63</v>
      </c>
      <c r="D429" s="11" t="s">
        <v>34</v>
      </c>
      <c r="E429" s="11" t="s">
        <v>35</v>
      </c>
      <c r="F429" s="11" t="s">
        <v>23</v>
      </c>
      <c r="G429" s="11">
        <v>4</v>
      </c>
      <c r="H429" s="11">
        <v>124.35</v>
      </c>
      <c r="I429" s="11">
        <v>0</v>
      </c>
      <c r="J429" s="11">
        <v>497.4</v>
      </c>
      <c r="K429" s="11">
        <v>308.52</v>
      </c>
      <c r="L429" s="11">
        <v>188.88</v>
      </c>
      <c r="M429" s="11" t="s">
        <v>24</v>
      </c>
      <c r="N429" s="11" t="s">
        <v>727</v>
      </c>
      <c r="O429" s="18" t="s">
        <v>727</v>
      </c>
      <c r="P429" s="35">
        <f t="shared" si="13"/>
        <v>45724</v>
      </c>
      <c r="Q429" s="16" t="str">
        <f t="shared" si="14"/>
        <v>2025-03</v>
      </c>
      <c r="R429" s="50"/>
    </row>
    <row r="430" spans="1:18">
      <c r="A430" s="21" t="s">
        <v>635</v>
      </c>
      <c r="B430" s="19">
        <v>45952</v>
      </c>
      <c r="C430" s="16" t="s">
        <v>138</v>
      </c>
      <c r="D430" s="16" t="s">
        <v>110</v>
      </c>
      <c r="E430" s="16" t="s">
        <v>35</v>
      </c>
      <c r="F430" s="16" t="s">
        <v>23</v>
      </c>
      <c r="G430" s="16">
        <v>5</v>
      </c>
      <c r="H430" s="16">
        <v>99.59</v>
      </c>
      <c r="I430" s="16">
        <v>0</v>
      </c>
      <c r="J430" s="16">
        <v>497.95</v>
      </c>
      <c r="K430" s="16">
        <v>364.35</v>
      </c>
      <c r="L430" s="16">
        <v>133.6</v>
      </c>
      <c r="M430" s="16" t="s">
        <v>31</v>
      </c>
      <c r="N430" s="16" t="s">
        <v>727</v>
      </c>
      <c r="O430" s="17" t="s">
        <v>727</v>
      </c>
      <c r="P430" s="35">
        <f t="shared" si="13"/>
        <v>45952</v>
      </c>
      <c r="Q430" s="16" t="str">
        <f t="shared" si="14"/>
        <v>2025-10</v>
      </c>
      <c r="R430" s="50"/>
    </row>
    <row r="431" spans="1:18">
      <c r="A431" s="20" t="s">
        <v>384</v>
      </c>
      <c r="B431" s="10">
        <v>46017</v>
      </c>
      <c r="C431" s="11" t="s">
        <v>385</v>
      </c>
      <c r="D431" s="11" t="s">
        <v>29</v>
      </c>
      <c r="E431" s="11" t="s">
        <v>22</v>
      </c>
      <c r="F431" s="11" t="s">
        <v>30</v>
      </c>
      <c r="G431" s="11">
        <v>3</v>
      </c>
      <c r="H431" s="11">
        <v>167.47</v>
      </c>
      <c r="I431" s="11">
        <v>0</v>
      </c>
      <c r="J431" s="11">
        <v>502.41</v>
      </c>
      <c r="K431" s="11">
        <v>336.51</v>
      </c>
      <c r="L431" s="11">
        <v>165.9</v>
      </c>
      <c r="M431" s="11" t="s">
        <v>31</v>
      </c>
      <c r="N431" s="11" t="s">
        <v>727</v>
      </c>
      <c r="O431" s="18" t="s">
        <v>727</v>
      </c>
      <c r="P431" s="35">
        <f t="shared" si="13"/>
        <v>46017</v>
      </c>
      <c r="Q431" s="16" t="str">
        <f t="shared" si="14"/>
        <v>2025-12</v>
      </c>
      <c r="R431" s="50"/>
    </row>
    <row r="432" spans="1:18">
      <c r="A432" s="21" t="s">
        <v>62</v>
      </c>
      <c r="B432" s="19">
        <v>45900</v>
      </c>
      <c r="C432" s="16" t="s">
        <v>63</v>
      </c>
      <c r="D432" s="16" t="s">
        <v>34</v>
      </c>
      <c r="E432" s="16" t="s">
        <v>35</v>
      </c>
      <c r="F432" s="16" t="s">
        <v>23</v>
      </c>
      <c r="G432" s="16">
        <v>5</v>
      </c>
      <c r="H432" s="16">
        <v>100.85</v>
      </c>
      <c r="I432" s="16">
        <v>0</v>
      </c>
      <c r="J432" s="16">
        <v>504.25</v>
      </c>
      <c r="K432" s="16">
        <v>419.97</v>
      </c>
      <c r="L432" s="16">
        <v>84.28</v>
      </c>
      <c r="M432" s="16" t="s">
        <v>18</v>
      </c>
      <c r="N432" s="16" t="s">
        <v>727</v>
      </c>
      <c r="O432" s="17" t="s">
        <v>727</v>
      </c>
      <c r="P432" s="35">
        <f t="shared" si="13"/>
        <v>45900</v>
      </c>
      <c r="Q432" s="16" t="str">
        <f t="shared" si="14"/>
        <v>2025-08</v>
      </c>
      <c r="R432" s="50"/>
    </row>
    <row r="433" spans="1:18">
      <c r="A433" s="20" t="s">
        <v>588</v>
      </c>
      <c r="B433" s="10">
        <v>45859</v>
      </c>
      <c r="C433" s="11" t="s">
        <v>397</v>
      </c>
      <c r="D433" s="11" t="s">
        <v>15</v>
      </c>
      <c r="E433" s="11" t="s">
        <v>16</v>
      </c>
      <c r="F433" s="11" t="s">
        <v>17</v>
      </c>
      <c r="G433" s="11">
        <v>5</v>
      </c>
      <c r="H433" s="11">
        <v>101.31</v>
      </c>
      <c r="I433" s="11">
        <v>0</v>
      </c>
      <c r="J433" s="11">
        <v>506.55</v>
      </c>
      <c r="K433" s="11">
        <v>336.45</v>
      </c>
      <c r="L433" s="11">
        <v>170.1</v>
      </c>
      <c r="M433" s="11" t="s">
        <v>18</v>
      </c>
      <c r="N433" s="11" t="s">
        <v>727</v>
      </c>
      <c r="O433" s="18" t="s">
        <v>727</v>
      </c>
      <c r="P433" s="35">
        <f t="shared" si="13"/>
        <v>45859</v>
      </c>
      <c r="Q433" s="16" t="str">
        <f t="shared" si="14"/>
        <v>2025-07</v>
      </c>
      <c r="R433" s="50"/>
    </row>
    <row r="434" spans="1:18">
      <c r="A434" s="21" t="s">
        <v>653</v>
      </c>
      <c r="B434" s="19">
        <v>45822</v>
      </c>
      <c r="C434" s="16" t="s">
        <v>112</v>
      </c>
      <c r="D434" s="16" t="s">
        <v>139</v>
      </c>
      <c r="E434" s="16" t="s">
        <v>16</v>
      </c>
      <c r="F434" s="16" t="s">
        <v>36</v>
      </c>
      <c r="G434" s="16">
        <v>4</v>
      </c>
      <c r="H434" s="16">
        <v>141.07</v>
      </c>
      <c r="I434" s="16">
        <v>0.1</v>
      </c>
      <c r="J434" s="16">
        <v>507.85</v>
      </c>
      <c r="K434" s="16">
        <v>302.26</v>
      </c>
      <c r="L434" s="16">
        <v>205.59</v>
      </c>
      <c r="M434" s="16" t="s">
        <v>18</v>
      </c>
      <c r="N434" s="16" t="s">
        <v>727</v>
      </c>
      <c r="O434" s="17" t="s">
        <v>727</v>
      </c>
      <c r="P434" s="35">
        <f t="shared" si="13"/>
        <v>45822</v>
      </c>
      <c r="Q434" s="16" t="str">
        <f t="shared" si="14"/>
        <v>2025-06</v>
      </c>
      <c r="R434" s="50"/>
    </row>
    <row r="435" spans="1:18">
      <c r="A435" s="20" t="s">
        <v>134</v>
      </c>
      <c r="B435" s="10">
        <v>45925</v>
      </c>
      <c r="C435" s="11" t="s">
        <v>135</v>
      </c>
      <c r="D435" s="11" t="s">
        <v>48</v>
      </c>
      <c r="E435" s="11" t="s">
        <v>35</v>
      </c>
      <c r="F435" s="11" t="s">
        <v>17</v>
      </c>
      <c r="G435" s="11">
        <v>3</v>
      </c>
      <c r="H435" s="11">
        <v>178.37</v>
      </c>
      <c r="I435" s="11">
        <v>0.05</v>
      </c>
      <c r="J435" s="11">
        <v>508.35</v>
      </c>
      <c r="K435" s="11">
        <v>336.33</v>
      </c>
      <c r="L435" s="11">
        <v>172.02</v>
      </c>
      <c r="M435" s="11" t="s">
        <v>31</v>
      </c>
      <c r="N435" s="11" t="s">
        <v>727</v>
      </c>
      <c r="O435" s="18" t="s">
        <v>727</v>
      </c>
      <c r="P435" s="35">
        <f t="shared" si="13"/>
        <v>45925</v>
      </c>
      <c r="Q435" s="16" t="str">
        <f t="shared" si="14"/>
        <v>2025-09</v>
      </c>
      <c r="R435" s="50"/>
    </row>
    <row r="436" spans="1:18">
      <c r="A436" s="21" t="s">
        <v>652</v>
      </c>
      <c r="B436" s="19">
        <v>45864</v>
      </c>
      <c r="C436" s="16" t="s">
        <v>60</v>
      </c>
      <c r="D436" s="16" t="s">
        <v>41</v>
      </c>
      <c r="E436" s="16" t="s">
        <v>42</v>
      </c>
      <c r="F436" s="16" t="s">
        <v>23</v>
      </c>
      <c r="G436" s="16">
        <v>5</v>
      </c>
      <c r="H436" s="16">
        <v>120.61</v>
      </c>
      <c r="I436" s="16">
        <v>0.15</v>
      </c>
      <c r="J436" s="16">
        <v>512.59</v>
      </c>
      <c r="K436" s="16">
        <v>291.63</v>
      </c>
      <c r="L436" s="16">
        <v>220.96</v>
      </c>
      <c r="M436" s="16" t="s">
        <v>31</v>
      </c>
      <c r="N436" s="16" t="s">
        <v>727</v>
      </c>
      <c r="O436" s="17" t="s">
        <v>727</v>
      </c>
      <c r="P436" s="35">
        <f t="shared" si="13"/>
        <v>45864</v>
      </c>
      <c r="Q436" s="16" t="str">
        <f t="shared" si="14"/>
        <v>2025-07</v>
      </c>
      <c r="R436" s="50"/>
    </row>
    <row r="437" spans="1:18">
      <c r="A437" s="20" t="s">
        <v>243</v>
      </c>
      <c r="B437" s="10">
        <v>45904</v>
      </c>
      <c r="C437" s="11" t="s">
        <v>102</v>
      </c>
      <c r="D437" s="11" t="s">
        <v>139</v>
      </c>
      <c r="E437" s="11" t="s">
        <v>16</v>
      </c>
      <c r="F437" s="11" t="s">
        <v>23</v>
      </c>
      <c r="G437" s="11">
        <v>4</v>
      </c>
      <c r="H437" s="11">
        <v>152.44</v>
      </c>
      <c r="I437" s="11">
        <v>0.15</v>
      </c>
      <c r="J437" s="11">
        <v>518.29999999999995</v>
      </c>
      <c r="K437" s="11">
        <v>348.5</v>
      </c>
      <c r="L437" s="11">
        <v>169.8</v>
      </c>
      <c r="M437" s="11" t="s">
        <v>18</v>
      </c>
      <c r="N437" s="11" t="s">
        <v>727</v>
      </c>
      <c r="O437" s="18" t="s">
        <v>727</v>
      </c>
      <c r="P437" s="35">
        <f t="shared" si="13"/>
        <v>45904</v>
      </c>
      <c r="Q437" s="16" t="str">
        <f t="shared" si="14"/>
        <v>2025-09</v>
      </c>
      <c r="R437" s="50"/>
    </row>
    <row r="438" spans="1:18">
      <c r="A438" s="21" t="s">
        <v>426</v>
      </c>
      <c r="B438" s="19">
        <v>45680</v>
      </c>
      <c r="C438" s="16" t="s">
        <v>427</v>
      </c>
      <c r="D438" s="16" t="s">
        <v>53</v>
      </c>
      <c r="E438" s="16" t="s">
        <v>42</v>
      </c>
      <c r="F438" s="16" t="s">
        <v>36</v>
      </c>
      <c r="G438" s="16">
        <v>5</v>
      </c>
      <c r="H438" s="16">
        <v>109.54</v>
      </c>
      <c r="I438" s="16">
        <v>0.05</v>
      </c>
      <c r="J438" s="16">
        <v>520.32000000000005</v>
      </c>
      <c r="K438" s="16">
        <v>332.62</v>
      </c>
      <c r="L438" s="16">
        <v>187.7</v>
      </c>
      <c r="M438" s="16" t="s">
        <v>18</v>
      </c>
      <c r="N438" s="16" t="s">
        <v>727</v>
      </c>
      <c r="O438" s="17" t="s">
        <v>727</v>
      </c>
      <c r="P438" s="35">
        <f t="shared" si="13"/>
        <v>45680</v>
      </c>
      <c r="Q438" s="16" t="str">
        <f t="shared" si="14"/>
        <v>2025-01</v>
      </c>
      <c r="R438" s="50"/>
    </row>
    <row r="439" spans="1:18">
      <c r="A439" s="20" t="s">
        <v>372</v>
      </c>
      <c r="B439" s="10">
        <v>45735</v>
      </c>
      <c r="C439" s="11" t="s">
        <v>206</v>
      </c>
      <c r="D439" s="11" t="s">
        <v>70</v>
      </c>
      <c r="E439" s="11" t="s">
        <v>35</v>
      </c>
      <c r="F439" s="11" t="s">
        <v>30</v>
      </c>
      <c r="G439" s="11">
        <v>5</v>
      </c>
      <c r="H439" s="11">
        <v>118.42</v>
      </c>
      <c r="I439" s="11">
        <v>0.1</v>
      </c>
      <c r="J439" s="11">
        <v>532.89</v>
      </c>
      <c r="K439" s="11">
        <v>380.49</v>
      </c>
      <c r="L439" s="11">
        <v>152.4</v>
      </c>
      <c r="M439" s="11" t="s">
        <v>18</v>
      </c>
      <c r="N439" s="11" t="s">
        <v>727</v>
      </c>
      <c r="O439" s="18" t="s">
        <v>727</v>
      </c>
      <c r="P439" s="35">
        <f t="shared" si="13"/>
        <v>45735</v>
      </c>
      <c r="Q439" s="16" t="str">
        <f t="shared" si="14"/>
        <v>2025-03</v>
      </c>
      <c r="R439" s="50"/>
    </row>
    <row r="440" spans="1:18">
      <c r="A440" s="21" t="s">
        <v>441</v>
      </c>
      <c r="B440" s="19">
        <v>45692</v>
      </c>
      <c r="C440" s="16" t="s">
        <v>187</v>
      </c>
      <c r="D440" s="16" t="s">
        <v>41</v>
      </c>
      <c r="E440" s="16" t="s">
        <v>42</v>
      </c>
      <c r="F440" s="16" t="s">
        <v>36</v>
      </c>
      <c r="G440" s="16">
        <v>5</v>
      </c>
      <c r="H440" s="16">
        <v>128</v>
      </c>
      <c r="I440" s="16">
        <v>0.15</v>
      </c>
      <c r="J440" s="16">
        <v>544</v>
      </c>
      <c r="K440" s="16">
        <v>426.92</v>
      </c>
      <c r="L440" s="16">
        <v>117.08</v>
      </c>
      <c r="M440" s="16" t="s">
        <v>18</v>
      </c>
      <c r="N440" s="16" t="s">
        <v>727</v>
      </c>
      <c r="O440" s="17" t="s">
        <v>727</v>
      </c>
      <c r="P440" s="35">
        <f t="shared" si="13"/>
        <v>45692</v>
      </c>
      <c r="Q440" s="16" t="str">
        <f t="shared" si="14"/>
        <v>2025-02</v>
      </c>
      <c r="R440" s="50"/>
    </row>
    <row r="441" spans="1:18">
      <c r="A441" s="20" t="s">
        <v>305</v>
      </c>
      <c r="B441" s="10">
        <v>45690</v>
      </c>
      <c r="C441" s="11" t="s">
        <v>154</v>
      </c>
      <c r="D441" s="11" t="s">
        <v>88</v>
      </c>
      <c r="E441" s="11" t="s">
        <v>16</v>
      </c>
      <c r="F441" s="11" t="s">
        <v>17</v>
      </c>
      <c r="G441" s="11">
        <v>4</v>
      </c>
      <c r="H441" s="11">
        <v>136.94</v>
      </c>
      <c r="I441" s="11">
        <v>0</v>
      </c>
      <c r="J441" s="11">
        <v>547.76</v>
      </c>
      <c r="K441" s="11">
        <v>425.87</v>
      </c>
      <c r="L441" s="11">
        <v>121.89</v>
      </c>
      <c r="M441" s="11" t="s">
        <v>31</v>
      </c>
      <c r="N441" s="11" t="s">
        <v>727</v>
      </c>
      <c r="O441" s="18" t="s">
        <v>727</v>
      </c>
      <c r="P441" s="35">
        <f t="shared" si="13"/>
        <v>45690</v>
      </c>
      <c r="Q441" s="16" t="str">
        <f t="shared" si="14"/>
        <v>2025-02</v>
      </c>
      <c r="R441" s="50"/>
    </row>
    <row r="442" spans="1:18">
      <c r="A442" s="21" t="s">
        <v>244</v>
      </c>
      <c r="B442" s="19">
        <v>45754</v>
      </c>
      <c r="C442" s="16" t="s">
        <v>245</v>
      </c>
      <c r="D442" s="16" t="s">
        <v>139</v>
      </c>
      <c r="E442" s="16" t="s">
        <v>16</v>
      </c>
      <c r="F442" s="16" t="s">
        <v>17</v>
      </c>
      <c r="G442" s="16">
        <v>5</v>
      </c>
      <c r="H442" s="16">
        <v>110.35</v>
      </c>
      <c r="I442" s="16">
        <v>0</v>
      </c>
      <c r="J442" s="16">
        <v>551.75</v>
      </c>
      <c r="K442" s="16">
        <v>397.72</v>
      </c>
      <c r="L442" s="16">
        <v>154.03</v>
      </c>
      <c r="M442" s="16" t="s">
        <v>18</v>
      </c>
      <c r="N442" s="16" t="s">
        <v>727</v>
      </c>
      <c r="O442" s="17" t="s">
        <v>727</v>
      </c>
      <c r="P442" s="35">
        <f t="shared" si="13"/>
        <v>45754</v>
      </c>
      <c r="Q442" s="16" t="str">
        <f t="shared" si="14"/>
        <v>2025-04</v>
      </c>
      <c r="R442" s="50"/>
    </row>
    <row r="443" spans="1:18">
      <c r="A443" s="20" t="s">
        <v>353</v>
      </c>
      <c r="B443" s="10">
        <v>45849</v>
      </c>
      <c r="C443" s="11" t="s">
        <v>112</v>
      </c>
      <c r="D443" s="11" t="s">
        <v>77</v>
      </c>
      <c r="E443" s="11" t="s">
        <v>22</v>
      </c>
      <c r="F443" s="11" t="s">
        <v>30</v>
      </c>
      <c r="G443" s="11">
        <v>5</v>
      </c>
      <c r="H443" s="11">
        <v>122.72</v>
      </c>
      <c r="I443" s="11">
        <v>0.1</v>
      </c>
      <c r="J443" s="11">
        <v>552.24</v>
      </c>
      <c r="K443" s="11">
        <v>361.48</v>
      </c>
      <c r="L443" s="11">
        <v>190.76</v>
      </c>
      <c r="M443" s="11" t="s">
        <v>18</v>
      </c>
      <c r="N443" s="11" t="s">
        <v>727</v>
      </c>
      <c r="O443" s="18" t="s">
        <v>727</v>
      </c>
      <c r="P443" s="35">
        <f t="shared" si="13"/>
        <v>45849</v>
      </c>
      <c r="Q443" s="16" t="str">
        <f t="shared" si="14"/>
        <v>2025-07</v>
      </c>
      <c r="R443" s="50"/>
    </row>
    <row r="444" spans="1:18">
      <c r="A444" s="21" t="s">
        <v>460</v>
      </c>
      <c r="B444" s="19">
        <v>45704</v>
      </c>
      <c r="C444" s="16" t="s">
        <v>282</v>
      </c>
      <c r="D444" s="16" t="s">
        <v>29</v>
      </c>
      <c r="E444" s="16" t="s">
        <v>461</v>
      </c>
      <c r="F444" s="16" t="s">
        <v>23</v>
      </c>
      <c r="G444" s="16">
        <v>4</v>
      </c>
      <c r="H444" s="16">
        <v>138.29</v>
      </c>
      <c r="I444" s="16">
        <v>0</v>
      </c>
      <c r="J444" s="16">
        <v>553.16</v>
      </c>
      <c r="K444" s="16">
        <v>356.07</v>
      </c>
      <c r="L444" s="16">
        <v>197.09</v>
      </c>
      <c r="M444" s="16" t="s">
        <v>18</v>
      </c>
      <c r="N444" s="16" t="s">
        <v>727</v>
      </c>
      <c r="O444" s="17" t="s">
        <v>727</v>
      </c>
      <c r="P444" s="35">
        <f t="shared" si="13"/>
        <v>45704</v>
      </c>
      <c r="Q444" s="16" t="str">
        <f t="shared" si="14"/>
        <v>2025-02</v>
      </c>
      <c r="R444" s="50"/>
    </row>
    <row r="445" spans="1:18">
      <c r="A445" s="20" t="s">
        <v>587</v>
      </c>
      <c r="B445" s="10">
        <v>45704</v>
      </c>
      <c r="C445" s="11" t="s">
        <v>157</v>
      </c>
      <c r="D445" s="11" t="s">
        <v>41</v>
      </c>
      <c r="E445" s="11" t="s">
        <v>42</v>
      </c>
      <c r="F445" s="11" t="s">
        <v>23</v>
      </c>
      <c r="G445" s="11">
        <v>5</v>
      </c>
      <c r="H445" s="11">
        <v>130.57</v>
      </c>
      <c r="I445" s="11">
        <v>0.15</v>
      </c>
      <c r="J445" s="11">
        <v>554.91999999999996</v>
      </c>
      <c r="K445" s="11">
        <v>335.44</v>
      </c>
      <c r="L445" s="11">
        <v>219.48</v>
      </c>
      <c r="M445" s="11" t="s">
        <v>18</v>
      </c>
      <c r="N445" s="11" t="s">
        <v>727</v>
      </c>
      <c r="O445" s="18" t="s">
        <v>727</v>
      </c>
      <c r="P445" s="35">
        <f t="shared" si="13"/>
        <v>45704</v>
      </c>
      <c r="Q445" s="16" t="str">
        <f t="shared" si="14"/>
        <v>2025-02</v>
      </c>
      <c r="R445" s="50"/>
    </row>
    <row r="446" spans="1:18">
      <c r="A446" s="21" t="s">
        <v>519</v>
      </c>
      <c r="B446" s="19">
        <v>45774</v>
      </c>
      <c r="C446" s="16" t="s">
        <v>355</v>
      </c>
      <c r="D446" s="16" t="s">
        <v>88</v>
      </c>
      <c r="E446" s="16" t="s">
        <v>16</v>
      </c>
      <c r="F446" s="16" t="s">
        <v>17</v>
      </c>
      <c r="G446" s="16">
        <v>4</v>
      </c>
      <c r="H446" s="16">
        <v>154.63999999999999</v>
      </c>
      <c r="I446" s="16">
        <v>0.1</v>
      </c>
      <c r="J446" s="16">
        <v>556.70000000000005</v>
      </c>
      <c r="K446" s="16">
        <v>457.65</v>
      </c>
      <c r="L446" s="16">
        <v>99.05</v>
      </c>
      <c r="M446" s="16" t="s">
        <v>18</v>
      </c>
      <c r="N446" s="16" t="s">
        <v>727</v>
      </c>
      <c r="O446" s="17" t="s">
        <v>727</v>
      </c>
      <c r="P446" s="35">
        <f t="shared" si="13"/>
        <v>45774</v>
      </c>
      <c r="Q446" s="16" t="str">
        <f t="shared" si="14"/>
        <v>2025-04</v>
      </c>
      <c r="R446" s="50"/>
    </row>
    <row r="447" spans="1:18">
      <c r="A447" s="20" t="s">
        <v>260</v>
      </c>
      <c r="B447" s="10">
        <v>45821</v>
      </c>
      <c r="C447" s="11" t="s">
        <v>135</v>
      </c>
      <c r="D447" s="11" t="s">
        <v>88</v>
      </c>
      <c r="E447" s="11" t="s">
        <v>16</v>
      </c>
      <c r="F447" s="11" t="s">
        <v>17</v>
      </c>
      <c r="G447" s="11">
        <v>4</v>
      </c>
      <c r="H447" s="11">
        <v>140.61000000000001</v>
      </c>
      <c r="I447" s="11">
        <v>0</v>
      </c>
      <c r="J447" s="11">
        <v>562.44000000000005</v>
      </c>
      <c r="K447" s="11">
        <v>450.58</v>
      </c>
      <c r="L447" s="11">
        <v>111.86</v>
      </c>
      <c r="M447" s="11" t="s">
        <v>18</v>
      </c>
      <c r="N447" s="11" t="s">
        <v>727</v>
      </c>
      <c r="O447" s="18" t="s">
        <v>727</v>
      </c>
      <c r="P447" s="35">
        <f t="shared" si="13"/>
        <v>45821</v>
      </c>
      <c r="Q447" s="16" t="str">
        <f t="shared" si="14"/>
        <v>2025-06</v>
      </c>
      <c r="R447" s="50"/>
    </row>
    <row r="448" spans="1:18">
      <c r="A448" s="21" t="s">
        <v>344</v>
      </c>
      <c r="B448" s="19">
        <v>45991</v>
      </c>
      <c r="C448" s="16" t="s">
        <v>20</v>
      </c>
      <c r="D448" s="16" t="s">
        <v>29</v>
      </c>
      <c r="E448" s="16" t="s">
        <v>22</v>
      </c>
      <c r="F448" s="16" t="s">
        <v>30</v>
      </c>
      <c r="G448" s="16">
        <v>4</v>
      </c>
      <c r="H448" s="16">
        <v>156.65</v>
      </c>
      <c r="I448" s="16">
        <v>0.1</v>
      </c>
      <c r="J448" s="16">
        <v>563.94000000000005</v>
      </c>
      <c r="K448" s="16">
        <v>401.51</v>
      </c>
      <c r="L448" s="16">
        <v>162.43</v>
      </c>
      <c r="M448" s="16" t="s">
        <v>24</v>
      </c>
      <c r="N448" s="16" t="s">
        <v>727</v>
      </c>
      <c r="O448" s="17" t="s">
        <v>727</v>
      </c>
      <c r="P448" s="35">
        <f t="shared" si="13"/>
        <v>45991</v>
      </c>
      <c r="Q448" s="16" t="str">
        <f t="shared" si="14"/>
        <v>2025-11</v>
      </c>
      <c r="R448" s="50"/>
    </row>
    <row r="449" spans="1:18">
      <c r="A449" s="20" t="s">
        <v>675</v>
      </c>
      <c r="B449" s="10">
        <v>45693</v>
      </c>
      <c r="C449" s="11" t="s">
        <v>55</v>
      </c>
      <c r="D449" s="11" t="s">
        <v>61</v>
      </c>
      <c r="E449" s="11" t="s">
        <v>42</v>
      </c>
      <c r="F449" s="11" t="s">
        <v>36</v>
      </c>
      <c r="G449" s="11">
        <v>4</v>
      </c>
      <c r="H449" s="11">
        <v>150.18</v>
      </c>
      <c r="I449" s="11">
        <v>0.05</v>
      </c>
      <c r="J449" s="11">
        <v>570.67999999999995</v>
      </c>
      <c r="K449" s="11">
        <v>374.43</v>
      </c>
      <c r="L449" s="11">
        <v>196.25</v>
      </c>
      <c r="M449" s="11" t="s">
        <v>31</v>
      </c>
      <c r="N449" s="11" t="s">
        <v>727</v>
      </c>
      <c r="O449" s="18" t="s">
        <v>727</v>
      </c>
      <c r="P449" s="35">
        <f t="shared" si="13"/>
        <v>45693</v>
      </c>
      <c r="Q449" s="16" t="str">
        <f t="shared" si="14"/>
        <v>2025-02</v>
      </c>
      <c r="R449" s="50"/>
    </row>
    <row r="450" spans="1:18">
      <c r="A450" s="21" t="s">
        <v>516</v>
      </c>
      <c r="B450" s="19">
        <v>45768</v>
      </c>
      <c r="C450" s="16" t="s">
        <v>355</v>
      </c>
      <c r="D450" s="16" t="s">
        <v>21</v>
      </c>
      <c r="E450" s="16" t="s">
        <v>22</v>
      </c>
      <c r="F450" s="16" t="s">
        <v>17</v>
      </c>
      <c r="G450" s="16">
        <v>4</v>
      </c>
      <c r="H450" s="16">
        <v>150.88</v>
      </c>
      <c r="I450" s="16">
        <v>0.05</v>
      </c>
      <c r="J450" s="16">
        <v>573.34</v>
      </c>
      <c r="K450" s="16">
        <v>343.76</v>
      </c>
      <c r="L450" s="16">
        <v>229.58</v>
      </c>
      <c r="M450" s="16" t="s">
        <v>31</v>
      </c>
      <c r="N450" s="16" t="s">
        <v>727</v>
      </c>
      <c r="O450" s="17" t="s">
        <v>727</v>
      </c>
      <c r="P450" s="35">
        <f t="shared" ref="P450:P500" si="15">IF(ISNUMBER(B450),INT(B450),"")</f>
        <v>45768</v>
      </c>
      <c r="Q450" s="16" t="str">
        <f t="shared" ref="Q450:Q500" si="16">IF(ISNUMBER(B450),TEXT(B450,"yyyy-mm"),"Invalid/Missing")</f>
        <v>2025-04</v>
      </c>
      <c r="R450" s="50"/>
    </row>
    <row r="451" spans="1:18">
      <c r="A451" s="20" t="s">
        <v>544</v>
      </c>
      <c r="B451" s="10">
        <v>45668</v>
      </c>
      <c r="C451" s="11" t="s">
        <v>303</v>
      </c>
      <c r="D451" s="11" t="s">
        <v>53</v>
      </c>
      <c r="E451" s="11" t="s">
        <v>42</v>
      </c>
      <c r="F451" s="11" t="s">
        <v>23</v>
      </c>
      <c r="G451" s="11">
        <v>5</v>
      </c>
      <c r="H451" s="11">
        <v>130.63999999999999</v>
      </c>
      <c r="I451" s="11">
        <v>0.1</v>
      </c>
      <c r="J451" s="11">
        <v>587.88</v>
      </c>
      <c r="K451" s="11">
        <v>493.71</v>
      </c>
      <c r="L451" s="11">
        <v>94.17</v>
      </c>
      <c r="M451" s="11" t="s">
        <v>24</v>
      </c>
      <c r="N451" s="11" t="s">
        <v>727</v>
      </c>
      <c r="O451" s="18" t="s">
        <v>727</v>
      </c>
      <c r="P451" s="35">
        <f t="shared" si="15"/>
        <v>45668</v>
      </c>
      <c r="Q451" s="16" t="str">
        <f t="shared" si="16"/>
        <v>2025-01</v>
      </c>
      <c r="R451" s="50"/>
    </row>
    <row r="452" spans="1:18">
      <c r="A452" s="21" t="s">
        <v>496</v>
      </c>
      <c r="B452" s="19">
        <v>45747</v>
      </c>
      <c r="C452" s="16" t="s">
        <v>321</v>
      </c>
      <c r="D452" s="16" t="s">
        <v>15</v>
      </c>
      <c r="E452" s="16" t="s">
        <v>16</v>
      </c>
      <c r="F452" s="16" t="s">
        <v>23</v>
      </c>
      <c r="G452" s="16">
        <v>5</v>
      </c>
      <c r="H452" s="16">
        <v>130.81</v>
      </c>
      <c r="I452" s="16">
        <v>0.1</v>
      </c>
      <c r="J452" s="16">
        <v>588.64</v>
      </c>
      <c r="K452" s="16">
        <v>378.38</v>
      </c>
      <c r="L452" s="16">
        <v>210.26</v>
      </c>
      <c r="M452" s="16" t="s">
        <v>31</v>
      </c>
      <c r="N452" s="16" t="s">
        <v>727</v>
      </c>
      <c r="O452" s="17" t="s">
        <v>727</v>
      </c>
      <c r="P452" s="35">
        <f t="shared" si="15"/>
        <v>45747</v>
      </c>
      <c r="Q452" s="16" t="str">
        <f t="shared" si="16"/>
        <v>2025-03</v>
      </c>
      <c r="R452" s="50"/>
    </row>
    <row r="453" spans="1:18">
      <c r="A453" s="20" t="s">
        <v>421</v>
      </c>
      <c r="B453" s="10">
        <v>45779</v>
      </c>
      <c r="C453" s="11" t="s">
        <v>397</v>
      </c>
      <c r="D453" s="11" t="s">
        <v>61</v>
      </c>
      <c r="E453" s="11" t="s">
        <v>42</v>
      </c>
      <c r="F453" s="11" t="s">
        <v>36</v>
      </c>
      <c r="G453" s="11">
        <v>5</v>
      </c>
      <c r="H453" s="11">
        <v>124.27</v>
      </c>
      <c r="I453" s="11">
        <v>0.05</v>
      </c>
      <c r="J453" s="11">
        <v>590.28</v>
      </c>
      <c r="K453" s="11">
        <v>326.91000000000003</v>
      </c>
      <c r="L453" s="11">
        <v>263.37</v>
      </c>
      <c r="M453" s="11" t="s">
        <v>31</v>
      </c>
      <c r="N453" s="11" t="s">
        <v>727</v>
      </c>
      <c r="O453" s="18" t="s">
        <v>727</v>
      </c>
      <c r="P453" s="35">
        <f t="shared" si="15"/>
        <v>45779</v>
      </c>
      <c r="Q453" s="16" t="str">
        <f t="shared" si="16"/>
        <v>2025-05</v>
      </c>
      <c r="R453" s="50"/>
    </row>
    <row r="454" spans="1:18">
      <c r="A454" s="21" t="s">
        <v>435</v>
      </c>
      <c r="B454" s="19">
        <v>45911</v>
      </c>
      <c r="C454" s="16" t="s">
        <v>44</v>
      </c>
      <c r="D454" s="16" t="s">
        <v>15</v>
      </c>
      <c r="E454" s="16" t="s">
        <v>16</v>
      </c>
      <c r="F454" s="16" t="s">
        <v>36</v>
      </c>
      <c r="G454" s="16">
        <v>5</v>
      </c>
      <c r="H454" s="16">
        <v>118.48</v>
      </c>
      <c r="I454" s="16">
        <v>0</v>
      </c>
      <c r="J454" s="16">
        <v>592.4</v>
      </c>
      <c r="K454" s="16">
        <v>428.89</v>
      </c>
      <c r="L454" s="16">
        <v>163.51</v>
      </c>
      <c r="M454" s="16" t="s">
        <v>24</v>
      </c>
      <c r="N454" s="16" t="s">
        <v>727</v>
      </c>
      <c r="O454" s="17" t="s">
        <v>727</v>
      </c>
      <c r="P454" s="35">
        <f t="shared" si="15"/>
        <v>45911</v>
      </c>
      <c r="Q454" s="16" t="str">
        <f t="shared" si="16"/>
        <v>2025-09</v>
      </c>
      <c r="R454" s="50"/>
    </row>
    <row r="455" spans="1:18">
      <c r="A455" s="20" t="s">
        <v>521</v>
      </c>
      <c r="B455" s="10">
        <v>45893</v>
      </c>
      <c r="C455" s="11" t="s">
        <v>72</v>
      </c>
      <c r="D455" s="11" t="s">
        <v>41</v>
      </c>
      <c r="E455" s="11" t="s">
        <v>42</v>
      </c>
      <c r="F455" s="11" t="s">
        <v>23</v>
      </c>
      <c r="G455" s="11">
        <v>4</v>
      </c>
      <c r="H455" s="11">
        <v>174.77</v>
      </c>
      <c r="I455" s="11">
        <v>0.15</v>
      </c>
      <c r="J455" s="11">
        <v>594.22</v>
      </c>
      <c r="K455" s="11">
        <v>418.25</v>
      </c>
      <c r="L455" s="11">
        <v>175.97</v>
      </c>
      <c r="M455" s="11" t="s">
        <v>24</v>
      </c>
      <c r="N455" s="11" t="s">
        <v>727</v>
      </c>
      <c r="O455" s="18" t="s">
        <v>727</v>
      </c>
      <c r="P455" s="35">
        <f t="shared" si="15"/>
        <v>45893</v>
      </c>
      <c r="Q455" s="16" t="str">
        <f t="shared" si="16"/>
        <v>2025-08</v>
      </c>
      <c r="R455" s="50"/>
    </row>
    <row r="456" spans="1:18">
      <c r="A456" s="21" t="s">
        <v>533</v>
      </c>
      <c r="B456" s="19">
        <v>45775</v>
      </c>
      <c r="C456" s="16" t="s">
        <v>33</v>
      </c>
      <c r="D456" s="16" t="s">
        <v>139</v>
      </c>
      <c r="E456" s="16" t="s">
        <v>16</v>
      </c>
      <c r="F456" s="16" t="s">
        <v>17</v>
      </c>
      <c r="G456" s="16">
        <v>4</v>
      </c>
      <c r="H456" s="16">
        <v>156.5</v>
      </c>
      <c r="I456" s="16">
        <v>0.05</v>
      </c>
      <c r="J456" s="16">
        <v>594.70000000000005</v>
      </c>
      <c r="K456" s="16">
        <v>379.27</v>
      </c>
      <c r="L456" s="16">
        <v>215.43</v>
      </c>
      <c r="M456" s="16" t="s">
        <v>18</v>
      </c>
      <c r="N456" s="16" t="s">
        <v>727</v>
      </c>
      <c r="O456" s="17" t="s">
        <v>727</v>
      </c>
      <c r="P456" s="35">
        <f t="shared" si="15"/>
        <v>45775</v>
      </c>
      <c r="Q456" s="16" t="str">
        <f t="shared" si="16"/>
        <v>2025-04</v>
      </c>
      <c r="R456" s="50"/>
    </row>
    <row r="457" spans="1:18">
      <c r="A457" s="20" t="s">
        <v>583</v>
      </c>
      <c r="B457" s="10">
        <v>45980</v>
      </c>
      <c r="C457" s="11" t="s">
        <v>172</v>
      </c>
      <c r="D457" s="11" t="s">
        <v>15</v>
      </c>
      <c r="E457" s="11" t="s">
        <v>16</v>
      </c>
      <c r="F457" s="11" t="s">
        <v>30</v>
      </c>
      <c r="G457" s="11">
        <v>5</v>
      </c>
      <c r="H457" s="11">
        <v>133</v>
      </c>
      <c r="I457" s="11">
        <v>0.1</v>
      </c>
      <c r="J457" s="11">
        <v>598.5</v>
      </c>
      <c r="K457" s="11">
        <v>392.48</v>
      </c>
      <c r="L457" s="11">
        <v>206.02</v>
      </c>
      <c r="M457" s="11" t="s">
        <v>24</v>
      </c>
      <c r="N457" s="11" t="s">
        <v>727</v>
      </c>
      <c r="O457" s="18" t="s">
        <v>727</v>
      </c>
      <c r="P457" s="35">
        <f t="shared" si="15"/>
        <v>45980</v>
      </c>
      <c r="Q457" s="16" t="str">
        <f t="shared" si="16"/>
        <v>2025-11</v>
      </c>
      <c r="R457" s="50"/>
    </row>
    <row r="458" spans="1:18">
      <c r="A458" s="21" t="s">
        <v>54</v>
      </c>
      <c r="B458" s="19">
        <v>45884</v>
      </c>
      <c r="C458" s="16" t="s">
        <v>55</v>
      </c>
      <c r="D458" s="16" t="s">
        <v>56</v>
      </c>
      <c r="E458" s="16" t="s">
        <v>16</v>
      </c>
      <c r="F458" s="16" t="s">
        <v>17</v>
      </c>
      <c r="G458" s="16">
        <v>5</v>
      </c>
      <c r="H458" s="16">
        <v>133.49</v>
      </c>
      <c r="I458" s="16">
        <v>0.1</v>
      </c>
      <c r="J458" s="16">
        <v>600.71</v>
      </c>
      <c r="K458" s="16">
        <v>490.28</v>
      </c>
      <c r="L458" s="16">
        <v>110.43</v>
      </c>
      <c r="M458" s="16" t="s">
        <v>18</v>
      </c>
      <c r="N458" s="16" t="s">
        <v>727</v>
      </c>
      <c r="O458" s="17" t="s">
        <v>727</v>
      </c>
      <c r="P458" s="35">
        <f t="shared" si="15"/>
        <v>45884</v>
      </c>
      <c r="Q458" s="16" t="str">
        <f t="shared" si="16"/>
        <v>2025-08</v>
      </c>
      <c r="R458" s="50"/>
    </row>
    <row r="459" spans="1:18">
      <c r="A459" s="20" t="s">
        <v>250</v>
      </c>
      <c r="B459" s="10">
        <v>45883</v>
      </c>
      <c r="C459" s="11" t="s">
        <v>33</v>
      </c>
      <c r="D459" s="11" t="s">
        <v>139</v>
      </c>
      <c r="E459" s="11" t="s">
        <v>16</v>
      </c>
      <c r="F459" s="11" t="s">
        <v>23</v>
      </c>
      <c r="G459" s="11">
        <v>4</v>
      </c>
      <c r="H459" s="11">
        <v>150.87</v>
      </c>
      <c r="I459" s="11">
        <v>0</v>
      </c>
      <c r="J459" s="11">
        <v>603.48</v>
      </c>
      <c r="K459" s="11">
        <v>472.01</v>
      </c>
      <c r="L459" s="11">
        <v>131.47</v>
      </c>
      <c r="M459" s="11" t="s">
        <v>18</v>
      </c>
      <c r="N459" s="11" t="s">
        <v>727</v>
      </c>
      <c r="O459" s="18" t="s">
        <v>727</v>
      </c>
      <c r="P459" s="35">
        <f t="shared" si="15"/>
        <v>45883</v>
      </c>
      <c r="Q459" s="16" t="str">
        <f t="shared" si="16"/>
        <v>2025-08</v>
      </c>
      <c r="R459" s="50"/>
    </row>
    <row r="460" spans="1:18">
      <c r="A460" s="21" t="s">
        <v>624</v>
      </c>
      <c r="B460" s="19">
        <v>45766</v>
      </c>
      <c r="C460" s="16" t="s">
        <v>116</v>
      </c>
      <c r="D460" s="16" t="s">
        <v>21</v>
      </c>
      <c r="E460" s="16" t="s">
        <v>22</v>
      </c>
      <c r="F460" s="16" t="s">
        <v>23</v>
      </c>
      <c r="G460" s="16">
        <v>5</v>
      </c>
      <c r="H460" s="16">
        <v>143.28</v>
      </c>
      <c r="I460" s="16">
        <v>0.15</v>
      </c>
      <c r="J460" s="16">
        <v>608.94000000000005</v>
      </c>
      <c r="K460" s="16">
        <v>471.34</v>
      </c>
      <c r="L460" s="16">
        <v>137.6</v>
      </c>
      <c r="M460" s="16" t="s">
        <v>18</v>
      </c>
      <c r="N460" s="16" t="s">
        <v>727</v>
      </c>
      <c r="O460" s="17" t="s">
        <v>727</v>
      </c>
      <c r="P460" s="35">
        <f t="shared" si="15"/>
        <v>45766</v>
      </c>
      <c r="Q460" s="16" t="str">
        <f t="shared" si="16"/>
        <v>2025-04</v>
      </c>
      <c r="R460" s="50"/>
    </row>
    <row r="461" spans="1:18">
      <c r="A461" s="20" t="s">
        <v>212</v>
      </c>
      <c r="B461" s="10">
        <v>45943</v>
      </c>
      <c r="C461" s="11" t="s">
        <v>131</v>
      </c>
      <c r="D461" s="11" t="s">
        <v>29</v>
      </c>
      <c r="E461" s="11" t="s">
        <v>22</v>
      </c>
      <c r="F461" s="11" t="s">
        <v>30</v>
      </c>
      <c r="G461" s="11">
        <v>4</v>
      </c>
      <c r="H461" s="11">
        <v>152.79</v>
      </c>
      <c r="I461" s="11">
        <v>0</v>
      </c>
      <c r="J461" s="11">
        <v>611.16</v>
      </c>
      <c r="K461" s="11">
        <v>481.95</v>
      </c>
      <c r="L461" s="11">
        <v>129.21</v>
      </c>
      <c r="M461" s="11" t="s">
        <v>24</v>
      </c>
      <c r="N461" s="11" t="s">
        <v>727</v>
      </c>
      <c r="O461" s="18" t="s">
        <v>727</v>
      </c>
      <c r="P461" s="35">
        <f t="shared" si="15"/>
        <v>45943</v>
      </c>
      <c r="Q461" s="16" t="str">
        <f t="shared" si="16"/>
        <v>2025-10</v>
      </c>
      <c r="R461" s="50"/>
    </row>
    <row r="462" spans="1:18">
      <c r="A462" s="21" t="s">
        <v>495</v>
      </c>
      <c r="B462" s="19">
        <v>45658</v>
      </c>
      <c r="C462" s="16" t="s">
        <v>208</v>
      </c>
      <c r="D462" s="16" t="s">
        <v>88</v>
      </c>
      <c r="E462" s="16" t="s">
        <v>16</v>
      </c>
      <c r="F462" s="16" t="s">
        <v>23</v>
      </c>
      <c r="G462" s="16">
        <v>5</v>
      </c>
      <c r="H462" s="16">
        <v>124.17</v>
      </c>
      <c r="I462" s="16">
        <v>0</v>
      </c>
      <c r="J462" s="16">
        <v>620.85</v>
      </c>
      <c r="K462" s="16">
        <v>425.39</v>
      </c>
      <c r="L462" s="16">
        <v>195.46</v>
      </c>
      <c r="M462" s="16" t="s">
        <v>31</v>
      </c>
      <c r="N462" s="16" t="s">
        <v>727</v>
      </c>
      <c r="O462" s="17" t="s">
        <v>727</v>
      </c>
      <c r="P462" s="35">
        <f t="shared" si="15"/>
        <v>45658</v>
      </c>
      <c r="Q462" s="16" t="str">
        <f t="shared" si="16"/>
        <v>2025-01</v>
      </c>
      <c r="R462" s="50"/>
    </row>
    <row r="463" spans="1:18">
      <c r="A463" s="20" t="s">
        <v>657</v>
      </c>
      <c r="B463" s="10">
        <v>45926</v>
      </c>
      <c r="C463" s="11" t="s">
        <v>135</v>
      </c>
      <c r="D463" s="11" t="s">
        <v>139</v>
      </c>
      <c r="E463" s="11" t="s">
        <v>16</v>
      </c>
      <c r="F463" s="11" t="s">
        <v>17</v>
      </c>
      <c r="G463" s="11">
        <v>5</v>
      </c>
      <c r="H463" s="11">
        <v>155.58000000000001</v>
      </c>
      <c r="I463" s="11">
        <v>0.2</v>
      </c>
      <c r="J463" s="11">
        <v>622.32000000000005</v>
      </c>
      <c r="K463" s="11">
        <v>387.36</v>
      </c>
      <c r="L463" s="11">
        <v>234.96</v>
      </c>
      <c r="M463" s="11" t="s">
        <v>31</v>
      </c>
      <c r="N463" s="11" t="s">
        <v>727</v>
      </c>
      <c r="O463" s="18" t="s">
        <v>727</v>
      </c>
      <c r="P463" s="35">
        <f t="shared" si="15"/>
        <v>45926</v>
      </c>
      <c r="Q463" s="16" t="str">
        <f t="shared" si="16"/>
        <v>2025-09</v>
      </c>
      <c r="R463" s="50"/>
    </row>
    <row r="464" spans="1:18">
      <c r="A464" s="21" t="s">
        <v>267</v>
      </c>
      <c r="B464" s="19">
        <v>45746</v>
      </c>
      <c r="C464" s="16" t="s">
        <v>268</v>
      </c>
      <c r="D464" s="16" t="s">
        <v>15</v>
      </c>
      <c r="E464" s="16" t="s">
        <v>16</v>
      </c>
      <c r="F464" s="16" t="s">
        <v>17</v>
      </c>
      <c r="G464" s="16">
        <v>5</v>
      </c>
      <c r="H464" s="16">
        <v>138.55000000000001</v>
      </c>
      <c r="I464" s="16">
        <v>0.1</v>
      </c>
      <c r="J464" s="16">
        <v>623.48</v>
      </c>
      <c r="K464" s="16">
        <v>462.1</v>
      </c>
      <c r="L464" s="16">
        <v>161.38</v>
      </c>
      <c r="M464" s="16" t="s">
        <v>18</v>
      </c>
      <c r="N464" s="16" t="s">
        <v>727</v>
      </c>
      <c r="O464" s="17" t="s">
        <v>727</v>
      </c>
      <c r="P464" s="35">
        <f t="shared" si="15"/>
        <v>45746</v>
      </c>
      <c r="Q464" s="16" t="str">
        <f t="shared" si="16"/>
        <v>2025-03</v>
      </c>
      <c r="R464" s="50"/>
    </row>
    <row r="465" spans="1:18">
      <c r="A465" s="20" t="s">
        <v>457</v>
      </c>
      <c r="B465" s="10">
        <v>45941</v>
      </c>
      <c r="C465" s="11" t="s">
        <v>166</v>
      </c>
      <c r="D465" s="11" t="s">
        <v>21</v>
      </c>
      <c r="E465" s="11" t="s">
        <v>22</v>
      </c>
      <c r="F465" s="11" t="s">
        <v>30</v>
      </c>
      <c r="G465" s="11">
        <v>4</v>
      </c>
      <c r="H465" s="11">
        <v>157.74</v>
      </c>
      <c r="I465" s="11">
        <v>0</v>
      </c>
      <c r="J465" s="11">
        <v>630.96</v>
      </c>
      <c r="K465" s="11">
        <v>432.44</v>
      </c>
      <c r="L465" s="11">
        <v>198.52</v>
      </c>
      <c r="M465" s="11" t="s">
        <v>18</v>
      </c>
      <c r="N465" s="11" t="s">
        <v>727</v>
      </c>
      <c r="O465" s="18" t="s">
        <v>727</v>
      </c>
      <c r="P465" s="35">
        <f t="shared" si="15"/>
        <v>45941</v>
      </c>
      <c r="Q465" s="16" t="str">
        <f t="shared" si="16"/>
        <v>2025-10</v>
      </c>
      <c r="R465" s="50"/>
    </row>
    <row r="466" spans="1:18">
      <c r="A466" s="21" t="s">
        <v>177</v>
      </c>
      <c r="B466" s="16" t="s">
        <v>178</v>
      </c>
      <c r="C466" s="16" t="s">
        <v>147</v>
      </c>
      <c r="D466" s="16" t="s">
        <v>139</v>
      </c>
      <c r="E466" s="16" t="s">
        <v>16</v>
      </c>
      <c r="F466" s="16" t="s">
        <v>30</v>
      </c>
      <c r="G466" s="16">
        <v>4</v>
      </c>
      <c r="H466" s="16">
        <v>176.64</v>
      </c>
      <c r="I466" s="16">
        <v>0.1</v>
      </c>
      <c r="J466" s="16">
        <v>635.9</v>
      </c>
      <c r="K466" s="16">
        <v>471.2</v>
      </c>
      <c r="L466" s="16">
        <v>164.7</v>
      </c>
      <c r="M466" s="16" t="s">
        <v>18</v>
      </c>
      <c r="N466" s="16" t="s">
        <v>727</v>
      </c>
      <c r="O466" s="17" t="s">
        <v>727</v>
      </c>
      <c r="P466" s="35" t="str">
        <f t="shared" si="15"/>
        <v/>
      </c>
      <c r="Q466" s="16" t="str">
        <f t="shared" si="16"/>
        <v>Invalid/Missing</v>
      </c>
      <c r="R466" s="50"/>
    </row>
    <row r="467" spans="1:18">
      <c r="A467" s="20" t="s">
        <v>279</v>
      </c>
      <c r="B467" s="10">
        <v>45722</v>
      </c>
      <c r="C467" s="11" t="s">
        <v>280</v>
      </c>
      <c r="D467" s="11" t="s">
        <v>21</v>
      </c>
      <c r="E467" s="11" t="s">
        <v>22</v>
      </c>
      <c r="F467" s="11" t="s">
        <v>17</v>
      </c>
      <c r="G467" s="11">
        <v>4</v>
      </c>
      <c r="H467" s="11">
        <v>177.26</v>
      </c>
      <c r="I467" s="11">
        <v>0.1</v>
      </c>
      <c r="J467" s="11">
        <v>638.14</v>
      </c>
      <c r="K467" s="11">
        <v>430.96</v>
      </c>
      <c r="L467" s="11">
        <v>207.18</v>
      </c>
      <c r="M467" s="11" t="s">
        <v>24</v>
      </c>
      <c r="N467" s="11" t="s">
        <v>727</v>
      </c>
      <c r="O467" s="18" t="s">
        <v>727</v>
      </c>
      <c r="P467" s="35">
        <f t="shared" si="15"/>
        <v>45722</v>
      </c>
      <c r="Q467" s="16" t="str">
        <f t="shared" si="16"/>
        <v>2025-03</v>
      </c>
      <c r="R467" s="50"/>
    </row>
    <row r="468" spans="1:18">
      <c r="A468" s="21" t="s">
        <v>111</v>
      </c>
      <c r="B468" s="19">
        <v>45810</v>
      </c>
      <c r="C468" s="16" t="s">
        <v>112</v>
      </c>
      <c r="D468" s="16" t="s">
        <v>21</v>
      </c>
      <c r="E468" s="16" t="s">
        <v>22</v>
      </c>
      <c r="F468" s="16" t="s">
        <v>36</v>
      </c>
      <c r="G468" s="16">
        <v>4</v>
      </c>
      <c r="H468" s="16">
        <v>160.5</v>
      </c>
      <c r="I468" s="16">
        <v>0</v>
      </c>
      <c r="J468" s="16">
        <v>642</v>
      </c>
      <c r="K468" s="16">
        <v>464.59</v>
      </c>
      <c r="L468" s="16">
        <v>177.41</v>
      </c>
      <c r="M468" s="16" t="s">
        <v>18</v>
      </c>
      <c r="N468" s="16" t="s">
        <v>727</v>
      </c>
      <c r="O468" s="17" t="s">
        <v>727</v>
      </c>
      <c r="P468" s="35">
        <f t="shared" si="15"/>
        <v>45810</v>
      </c>
      <c r="Q468" s="16" t="str">
        <f t="shared" si="16"/>
        <v>2025-06</v>
      </c>
      <c r="R468" s="50"/>
    </row>
    <row r="469" spans="1:18">
      <c r="A469" s="20" t="s">
        <v>566</v>
      </c>
      <c r="B469" s="10">
        <v>45989</v>
      </c>
      <c r="C469" s="11" t="s">
        <v>79</v>
      </c>
      <c r="D469" s="11" t="s">
        <v>45</v>
      </c>
      <c r="E469" s="11" t="s">
        <v>22</v>
      </c>
      <c r="F469" s="11" t="s">
        <v>30</v>
      </c>
      <c r="G469" s="11">
        <v>4</v>
      </c>
      <c r="H469" s="11">
        <v>179.11</v>
      </c>
      <c r="I469" s="11">
        <v>0.1</v>
      </c>
      <c r="J469" s="11">
        <v>644.79999999999995</v>
      </c>
      <c r="K469" s="11">
        <v>544.42999999999995</v>
      </c>
      <c r="L469" s="11">
        <v>100.37</v>
      </c>
      <c r="M469" s="11" t="s">
        <v>18</v>
      </c>
      <c r="N469" s="11" t="s">
        <v>727</v>
      </c>
      <c r="O469" s="18" t="s">
        <v>727</v>
      </c>
      <c r="P469" s="35">
        <f t="shared" si="15"/>
        <v>45989</v>
      </c>
      <c r="Q469" s="16" t="str">
        <f t="shared" si="16"/>
        <v>2025-11</v>
      </c>
      <c r="R469" s="50"/>
    </row>
    <row r="470" spans="1:18">
      <c r="A470" s="21" t="s">
        <v>537</v>
      </c>
      <c r="B470" s="19">
        <v>45716</v>
      </c>
      <c r="C470" s="16" t="s">
        <v>114</v>
      </c>
      <c r="D470" s="16" t="s">
        <v>61</v>
      </c>
      <c r="E470" s="16" t="s">
        <v>42</v>
      </c>
      <c r="F470" s="16" t="s">
        <v>36</v>
      </c>
      <c r="G470" s="16">
        <v>5</v>
      </c>
      <c r="H470" s="16">
        <v>146.28</v>
      </c>
      <c r="I470" s="16">
        <v>0.1</v>
      </c>
      <c r="J470" s="16">
        <v>658.26</v>
      </c>
      <c r="K470" s="16">
        <v>464.77</v>
      </c>
      <c r="L470" s="16">
        <v>193.49</v>
      </c>
      <c r="M470" s="16" t="s">
        <v>31</v>
      </c>
      <c r="N470" s="16" t="s">
        <v>727</v>
      </c>
      <c r="O470" s="17" t="s">
        <v>727</v>
      </c>
      <c r="P470" s="35">
        <f t="shared" si="15"/>
        <v>45716</v>
      </c>
      <c r="Q470" s="16" t="str">
        <f t="shared" si="16"/>
        <v>2025-02</v>
      </c>
      <c r="R470" s="50"/>
    </row>
    <row r="471" spans="1:18">
      <c r="A471" s="20" t="s">
        <v>153</v>
      </c>
      <c r="B471" s="10">
        <v>45774</v>
      </c>
      <c r="C471" s="11" t="s">
        <v>154</v>
      </c>
      <c r="D471" s="11" t="s">
        <v>88</v>
      </c>
      <c r="E471" s="11" t="s">
        <v>16</v>
      </c>
      <c r="F471" s="11" t="s">
        <v>36</v>
      </c>
      <c r="G471" s="11">
        <v>4</v>
      </c>
      <c r="H471" s="11">
        <v>173.49</v>
      </c>
      <c r="I471" s="11">
        <v>0.05</v>
      </c>
      <c r="J471" s="11">
        <v>659.26</v>
      </c>
      <c r="K471" s="11">
        <v>419.1</v>
      </c>
      <c r="L471" s="11">
        <v>240.16</v>
      </c>
      <c r="M471" s="11" t="s">
        <v>18</v>
      </c>
      <c r="N471" s="11" t="s">
        <v>727</v>
      </c>
      <c r="O471" s="18" t="s">
        <v>727</v>
      </c>
      <c r="P471" s="35">
        <f t="shared" si="15"/>
        <v>45774</v>
      </c>
      <c r="Q471" s="16" t="str">
        <f t="shared" si="16"/>
        <v>2025-04</v>
      </c>
      <c r="R471" s="50"/>
    </row>
    <row r="472" spans="1:18">
      <c r="A472" s="21" t="s">
        <v>315</v>
      </c>
      <c r="B472" s="19">
        <v>45879</v>
      </c>
      <c r="C472" s="16" t="s">
        <v>303</v>
      </c>
      <c r="D472" s="16" t="s">
        <v>29</v>
      </c>
      <c r="E472" s="16" t="s">
        <v>22</v>
      </c>
      <c r="F472" s="16" t="s">
        <v>36</v>
      </c>
      <c r="G472" s="16">
        <v>5</v>
      </c>
      <c r="H472" s="16">
        <v>164.84</v>
      </c>
      <c r="I472" s="16">
        <v>0.2</v>
      </c>
      <c r="J472" s="16">
        <v>659.36</v>
      </c>
      <c r="K472" s="16">
        <v>399.33</v>
      </c>
      <c r="L472" s="16">
        <v>260.02999999999997</v>
      </c>
      <c r="M472" s="16" t="s">
        <v>18</v>
      </c>
      <c r="N472" s="16" t="s">
        <v>727</v>
      </c>
      <c r="O472" s="17" t="s">
        <v>727</v>
      </c>
      <c r="P472" s="35">
        <f t="shared" si="15"/>
        <v>45879</v>
      </c>
      <c r="Q472" s="16" t="str">
        <f t="shared" si="16"/>
        <v>2025-08</v>
      </c>
      <c r="R472" s="50"/>
    </row>
    <row r="473" spans="1:18">
      <c r="A473" s="20" t="s">
        <v>270</v>
      </c>
      <c r="B473" s="10">
        <v>45872</v>
      </c>
      <c r="C473" s="11" t="s">
        <v>271</v>
      </c>
      <c r="D473" s="11" t="s">
        <v>56</v>
      </c>
      <c r="E473" s="11" t="s">
        <v>16</v>
      </c>
      <c r="F473" s="11" t="s">
        <v>17</v>
      </c>
      <c r="G473" s="11">
        <v>5</v>
      </c>
      <c r="H473" s="11">
        <v>133.74</v>
      </c>
      <c r="I473" s="11">
        <v>0</v>
      </c>
      <c r="J473" s="11">
        <v>668.7</v>
      </c>
      <c r="K473" s="11">
        <v>390.91</v>
      </c>
      <c r="L473" s="11">
        <v>277.79000000000002</v>
      </c>
      <c r="M473" s="11" t="s">
        <v>18</v>
      </c>
      <c r="N473" s="11" t="s">
        <v>727</v>
      </c>
      <c r="O473" s="18" t="s">
        <v>727</v>
      </c>
      <c r="P473" s="35">
        <f t="shared" si="15"/>
        <v>45872</v>
      </c>
      <c r="Q473" s="16" t="str">
        <f t="shared" si="16"/>
        <v>2025-08</v>
      </c>
      <c r="R473" s="50"/>
    </row>
    <row r="474" spans="1:18">
      <c r="A474" s="21" t="s">
        <v>514</v>
      </c>
      <c r="B474" s="19">
        <v>45999</v>
      </c>
      <c r="C474" s="16" t="s">
        <v>33</v>
      </c>
      <c r="D474" s="16" t="s">
        <v>29</v>
      </c>
      <c r="E474" s="16" t="s">
        <v>22</v>
      </c>
      <c r="F474" s="16" t="s">
        <v>17</v>
      </c>
      <c r="G474" s="16">
        <v>4</v>
      </c>
      <c r="H474" s="16">
        <v>176.58</v>
      </c>
      <c r="I474" s="16">
        <v>0.05</v>
      </c>
      <c r="J474" s="16">
        <v>671</v>
      </c>
      <c r="K474" s="16">
        <v>476.19</v>
      </c>
      <c r="L474" s="16">
        <v>194.81</v>
      </c>
      <c r="M474" s="16" t="s">
        <v>31</v>
      </c>
      <c r="N474" s="16" t="s">
        <v>727</v>
      </c>
      <c r="O474" s="17" t="s">
        <v>727</v>
      </c>
      <c r="P474" s="35">
        <f t="shared" si="15"/>
        <v>45999</v>
      </c>
      <c r="Q474" s="16" t="str">
        <f t="shared" si="16"/>
        <v>2025-12</v>
      </c>
      <c r="R474" s="50"/>
    </row>
    <row r="475" spans="1:18">
      <c r="A475" s="20" t="s">
        <v>142</v>
      </c>
      <c r="B475" s="10">
        <v>45790</v>
      </c>
      <c r="C475" s="11" t="s">
        <v>143</v>
      </c>
      <c r="D475" s="11" t="s">
        <v>34</v>
      </c>
      <c r="E475" s="11" t="s">
        <v>35</v>
      </c>
      <c r="F475" s="11" t="s">
        <v>17</v>
      </c>
      <c r="G475" s="11">
        <v>5</v>
      </c>
      <c r="H475" s="11">
        <v>168.12</v>
      </c>
      <c r="I475" s="11">
        <v>0.2</v>
      </c>
      <c r="J475" s="11">
        <v>672.48</v>
      </c>
      <c r="K475" s="11">
        <v>570.79</v>
      </c>
      <c r="L475" s="11">
        <v>101.69</v>
      </c>
      <c r="M475" s="11" t="s">
        <v>18</v>
      </c>
      <c r="N475" s="11" t="s">
        <v>727</v>
      </c>
      <c r="O475" s="18" t="s">
        <v>727</v>
      </c>
      <c r="P475" s="35">
        <f t="shared" si="15"/>
        <v>45790</v>
      </c>
      <c r="Q475" s="16" t="str">
        <f t="shared" si="16"/>
        <v>2025-05</v>
      </c>
      <c r="R475" s="50"/>
    </row>
    <row r="476" spans="1:18">
      <c r="A476" s="21" t="s">
        <v>513</v>
      </c>
      <c r="B476" s="19">
        <v>45783</v>
      </c>
      <c r="C476" s="16" t="s">
        <v>180</v>
      </c>
      <c r="D476" s="16" t="s">
        <v>56</v>
      </c>
      <c r="E476" s="16" t="s">
        <v>16</v>
      </c>
      <c r="F476" s="16" t="s">
        <v>30</v>
      </c>
      <c r="G476" s="16">
        <v>4</v>
      </c>
      <c r="H476" s="16">
        <v>179.12</v>
      </c>
      <c r="I476" s="16">
        <v>0.05</v>
      </c>
      <c r="J476" s="16">
        <v>680.66</v>
      </c>
      <c r="K476" s="16">
        <v>392.37</v>
      </c>
      <c r="L476" s="16">
        <v>288.29000000000002</v>
      </c>
      <c r="M476" s="16" t="s">
        <v>18</v>
      </c>
      <c r="N476" s="16" t="s">
        <v>727</v>
      </c>
      <c r="O476" s="17" t="s">
        <v>727</v>
      </c>
      <c r="P476" s="35">
        <f t="shared" si="15"/>
        <v>45783</v>
      </c>
      <c r="Q476" s="16" t="str">
        <f t="shared" si="16"/>
        <v>2025-05</v>
      </c>
      <c r="R476" s="50"/>
    </row>
    <row r="477" spans="1:18">
      <c r="A477" s="20" t="s">
        <v>437</v>
      </c>
      <c r="B477" s="10">
        <v>46007</v>
      </c>
      <c r="C477" s="11" t="s">
        <v>135</v>
      </c>
      <c r="D477" s="11" t="s">
        <v>41</v>
      </c>
      <c r="E477" s="11" t="s">
        <v>42</v>
      </c>
      <c r="F477" s="11" t="s">
        <v>17</v>
      </c>
      <c r="G477" s="11">
        <v>5</v>
      </c>
      <c r="H477" s="11">
        <v>143.63999999999999</v>
      </c>
      <c r="I477" s="11">
        <v>0.05</v>
      </c>
      <c r="J477" s="11">
        <v>682.29</v>
      </c>
      <c r="K477" s="11">
        <v>465.36</v>
      </c>
      <c r="L477" s="11">
        <v>216.93</v>
      </c>
      <c r="M477" s="11" t="s">
        <v>24</v>
      </c>
      <c r="N477" s="11" t="s">
        <v>727</v>
      </c>
      <c r="O477" s="18" t="s">
        <v>727</v>
      </c>
      <c r="P477" s="35">
        <f t="shared" si="15"/>
        <v>46007</v>
      </c>
      <c r="Q477" s="16" t="str">
        <f t="shared" si="16"/>
        <v>2025-12</v>
      </c>
      <c r="R477" s="50"/>
    </row>
    <row r="478" spans="1:18">
      <c r="A478" s="21" t="s">
        <v>654</v>
      </c>
      <c r="B478" s="19">
        <v>45833</v>
      </c>
      <c r="C478" s="16" t="s">
        <v>154</v>
      </c>
      <c r="D478" s="16" t="s">
        <v>105</v>
      </c>
      <c r="E478" s="16" t="s">
        <v>42</v>
      </c>
      <c r="F478" s="16" t="s">
        <v>30</v>
      </c>
      <c r="G478" s="16">
        <v>5</v>
      </c>
      <c r="H478" s="16">
        <v>160.82</v>
      </c>
      <c r="I478" s="16">
        <v>0.15</v>
      </c>
      <c r="J478" s="16">
        <v>683.48</v>
      </c>
      <c r="K478" s="16">
        <v>505.1</v>
      </c>
      <c r="L478" s="16">
        <v>178.38</v>
      </c>
      <c r="M478" s="16" t="s">
        <v>18</v>
      </c>
      <c r="N478" s="16" t="s">
        <v>727</v>
      </c>
      <c r="O478" s="17" t="s">
        <v>727</v>
      </c>
      <c r="P478" s="35">
        <f t="shared" si="15"/>
        <v>45833</v>
      </c>
      <c r="Q478" s="16" t="str">
        <f t="shared" si="16"/>
        <v>2025-06</v>
      </c>
      <c r="R478" s="50"/>
    </row>
    <row r="479" spans="1:18">
      <c r="A479" s="20" t="s">
        <v>298</v>
      </c>
      <c r="B479" s="10">
        <v>45845</v>
      </c>
      <c r="C479" s="11" t="s">
        <v>145</v>
      </c>
      <c r="D479" s="11" t="s">
        <v>21</v>
      </c>
      <c r="E479" s="11" t="s">
        <v>22</v>
      </c>
      <c r="F479" s="11" t="s">
        <v>30</v>
      </c>
      <c r="G479" s="11">
        <v>5</v>
      </c>
      <c r="H479" s="11">
        <v>151.97</v>
      </c>
      <c r="I479" s="11">
        <v>0.1</v>
      </c>
      <c r="J479" s="11">
        <v>683.86</v>
      </c>
      <c r="K479" s="11">
        <v>515.66</v>
      </c>
      <c r="L479" s="11">
        <v>168.2</v>
      </c>
      <c r="M479" s="11" t="s">
        <v>18</v>
      </c>
      <c r="N479" s="11" t="s">
        <v>727</v>
      </c>
      <c r="O479" s="18" t="s">
        <v>727</v>
      </c>
      <c r="P479" s="35">
        <f t="shared" si="15"/>
        <v>45845</v>
      </c>
      <c r="Q479" s="16" t="str">
        <f t="shared" si="16"/>
        <v>2025-07</v>
      </c>
      <c r="R479" s="50"/>
    </row>
    <row r="480" spans="1:18">
      <c r="A480" s="21" t="s">
        <v>330</v>
      </c>
      <c r="B480" s="19">
        <v>45809</v>
      </c>
      <c r="C480" s="16" t="s">
        <v>331</v>
      </c>
      <c r="D480" s="16" t="s">
        <v>56</v>
      </c>
      <c r="E480" s="16" t="s">
        <v>16</v>
      </c>
      <c r="F480" s="16" t="s">
        <v>30</v>
      </c>
      <c r="G480" s="16">
        <v>5</v>
      </c>
      <c r="H480" s="16">
        <v>153.55000000000001</v>
      </c>
      <c r="I480" s="16">
        <v>0.1</v>
      </c>
      <c r="J480" s="16">
        <v>690.98</v>
      </c>
      <c r="K480" s="16">
        <v>532.47</v>
      </c>
      <c r="L480" s="16">
        <v>158.51</v>
      </c>
      <c r="M480" s="16" t="s">
        <v>24</v>
      </c>
      <c r="N480" s="16" t="s">
        <v>727</v>
      </c>
      <c r="O480" s="17" t="s">
        <v>727</v>
      </c>
      <c r="P480" s="35">
        <f t="shared" si="15"/>
        <v>45809</v>
      </c>
      <c r="Q480" s="16" t="str">
        <f t="shared" si="16"/>
        <v>2025-06</v>
      </c>
      <c r="R480" s="50"/>
    </row>
    <row r="481" spans="1:18">
      <c r="A481" s="20" t="s">
        <v>211</v>
      </c>
      <c r="B481" s="10">
        <v>45733</v>
      </c>
      <c r="C481" s="11" t="s">
        <v>131</v>
      </c>
      <c r="D481" s="11" t="s">
        <v>110</v>
      </c>
      <c r="E481" s="11" t="s">
        <v>35</v>
      </c>
      <c r="F481" s="11" t="s">
        <v>30</v>
      </c>
      <c r="G481" s="11">
        <v>4</v>
      </c>
      <c r="H481" s="11">
        <v>173.98</v>
      </c>
      <c r="I481" s="11">
        <v>0</v>
      </c>
      <c r="J481" s="11">
        <v>695.92</v>
      </c>
      <c r="K481" s="11">
        <v>535.34</v>
      </c>
      <c r="L481" s="11">
        <v>160.58000000000001</v>
      </c>
      <c r="M481" s="11" t="s">
        <v>18</v>
      </c>
      <c r="N481" s="11" t="s">
        <v>727</v>
      </c>
      <c r="O481" s="18" t="s">
        <v>727</v>
      </c>
      <c r="P481" s="35">
        <f t="shared" si="15"/>
        <v>45733</v>
      </c>
      <c r="Q481" s="16" t="str">
        <f t="shared" si="16"/>
        <v>2025-03</v>
      </c>
      <c r="R481" s="50"/>
    </row>
    <row r="482" spans="1:18">
      <c r="A482" s="21" t="s">
        <v>693</v>
      </c>
      <c r="B482" s="19">
        <v>45773</v>
      </c>
      <c r="C482" s="16" t="s">
        <v>282</v>
      </c>
      <c r="D482" s="16" t="s">
        <v>34</v>
      </c>
      <c r="E482" s="16" t="s">
        <v>35</v>
      </c>
      <c r="F482" s="16" t="s">
        <v>30</v>
      </c>
      <c r="G482" s="16">
        <v>5</v>
      </c>
      <c r="H482" s="16">
        <v>139.22</v>
      </c>
      <c r="I482" s="16">
        <v>0</v>
      </c>
      <c r="J482" s="16">
        <v>696.1</v>
      </c>
      <c r="K482" s="16">
        <v>517.88</v>
      </c>
      <c r="L482" s="16">
        <v>178.22</v>
      </c>
      <c r="M482" s="16" t="s">
        <v>18</v>
      </c>
      <c r="N482" s="16" t="s">
        <v>727</v>
      </c>
      <c r="O482" s="17" t="s">
        <v>727</v>
      </c>
      <c r="P482" s="35">
        <f t="shared" si="15"/>
        <v>45773</v>
      </c>
      <c r="Q482" s="16" t="str">
        <f t="shared" si="16"/>
        <v>2025-04</v>
      </c>
      <c r="R482" s="50"/>
    </row>
    <row r="483" spans="1:18">
      <c r="A483" s="20" t="s">
        <v>586</v>
      </c>
      <c r="B483" s="10">
        <v>46000</v>
      </c>
      <c r="C483" s="11" t="s">
        <v>120</v>
      </c>
      <c r="D483" s="11" t="s">
        <v>56</v>
      </c>
      <c r="E483" s="11" t="s">
        <v>16</v>
      </c>
      <c r="F483" s="11" t="s">
        <v>36</v>
      </c>
      <c r="G483" s="11">
        <v>4</v>
      </c>
      <c r="H483" s="11">
        <v>174.3</v>
      </c>
      <c r="I483" s="11">
        <v>0</v>
      </c>
      <c r="J483" s="11">
        <v>697.2</v>
      </c>
      <c r="K483" s="11">
        <v>522.14</v>
      </c>
      <c r="L483" s="11">
        <v>175.06</v>
      </c>
      <c r="M483" s="11" t="s">
        <v>18</v>
      </c>
      <c r="N483" s="11" t="s">
        <v>727</v>
      </c>
      <c r="O483" s="18" t="s">
        <v>727</v>
      </c>
      <c r="P483" s="35">
        <f t="shared" si="15"/>
        <v>46000</v>
      </c>
      <c r="Q483" s="16" t="str">
        <f t="shared" si="16"/>
        <v>2025-12</v>
      </c>
      <c r="R483" s="50"/>
    </row>
    <row r="484" spans="1:18">
      <c r="A484" s="21" t="s">
        <v>551</v>
      </c>
      <c r="B484" s="16" t="s">
        <v>552</v>
      </c>
      <c r="C484" s="16" t="s">
        <v>474</v>
      </c>
      <c r="D484" s="16" t="s">
        <v>105</v>
      </c>
      <c r="E484" s="16" t="s">
        <v>42</v>
      </c>
      <c r="F484" s="16" t="s">
        <v>17</v>
      </c>
      <c r="G484" s="16">
        <v>5</v>
      </c>
      <c r="H484" s="16">
        <v>164.7</v>
      </c>
      <c r="I484" s="16">
        <v>0.15</v>
      </c>
      <c r="J484" s="16">
        <v>699.98</v>
      </c>
      <c r="K484" s="16">
        <v>533.96</v>
      </c>
      <c r="L484" s="16">
        <v>166.02</v>
      </c>
      <c r="M484" s="16" t="s">
        <v>18</v>
      </c>
      <c r="N484" s="16" t="s">
        <v>727</v>
      </c>
      <c r="O484" s="17" t="s">
        <v>727</v>
      </c>
      <c r="P484" s="35" t="str">
        <f t="shared" si="15"/>
        <v/>
      </c>
      <c r="Q484" s="16" t="str">
        <f t="shared" si="16"/>
        <v>Invalid/Missing</v>
      </c>
      <c r="R484" s="50"/>
    </row>
    <row r="485" spans="1:18">
      <c r="A485" s="20" t="s">
        <v>662</v>
      </c>
      <c r="B485" s="10">
        <v>45827</v>
      </c>
      <c r="C485" s="11" t="s">
        <v>147</v>
      </c>
      <c r="D485" s="11" t="s">
        <v>139</v>
      </c>
      <c r="E485" s="11" t="s">
        <v>16</v>
      </c>
      <c r="F485" s="11" t="s">
        <v>30</v>
      </c>
      <c r="G485" s="11">
        <v>5</v>
      </c>
      <c r="H485" s="11">
        <v>179.25</v>
      </c>
      <c r="I485" s="11">
        <v>0.2</v>
      </c>
      <c r="J485" s="11">
        <v>717</v>
      </c>
      <c r="K485" s="11">
        <v>534.05999999999995</v>
      </c>
      <c r="L485" s="11">
        <v>182.94</v>
      </c>
      <c r="M485" s="11" t="s">
        <v>18</v>
      </c>
      <c r="N485" s="11" t="s">
        <v>727</v>
      </c>
      <c r="O485" s="18" t="s">
        <v>727</v>
      </c>
      <c r="P485" s="35">
        <f t="shared" si="15"/>
        <v>45827</v>
      </c>
      <c r="Q485" s="16" t="str">
        <f t="shared" si="16"/>
        <v>2025-06</v>
      </c>
      <c r="R485" s="50"/>
    </row>
    <row r="486" spans="1:18">
      <c r="A486" s="21" t="s">
        <v>398</v>
      </c>
      <c r="B486" s="19">
        <v>45700</v>
      </c>
      <c r="C486" s="16" t="s">
        <v>20</v>
      </c>
      <c r="D486" s="16" t="s">
        <v>29</v>
      </c>
      <c r="E486" s="16" t="s">
        <v>22</v>
      </c>
      <c r="F486" s="16" t="s">
        <v>23</v>
      </c>
      <c r="G486" s="16">
        <v>5</v>
      </c>
      <c r="H486" s="16">
        <v>169.07</v>
      </c>
      <c r="I486" s="16">
        <v>0.15</v>
      </c>
      <c r="J486" s="16">
        <v>718.55</v>
      </c>
      <c r="K486" s="16">
        <v>455.08</v>
      </c>
      <c r="L486" s="16">
        <v>263.47000000000003</v>
      </c>
      <c r="M486" s="16" t="s">
        <v>31</v>
      </c>
      <c r="N486" s="16" t="s">
        <v>727</v>
      </c>
      <c r="O486" s="17" t="s">
        <v>727</v>
      </c>
      <c r="P486" s="35">
        <f t="shared" si="15"/>
        <v>45700</v>
      </c>
      <c r="Q486" s="16" t="str">
        <f t="shared" si="16"/>
        <v>2025-02</v>
      </c>
      <c r="R486" s="50"/>
    </row>
    <row r="487" spans="1:18">
      <c r="A487" s="20" t="s">
        <v>348</v>
      </c>
      <c r="B487" s="10">
        <v>45951</v>
      </c>
      <c r="C487" s="11" t="s">
        <v>65</v>
      </c>
      <c r="D487" s="11" t="s">
        <v>110</v>
      </c>
      <c r="E487" s="11" t="s">
        <v>35</v>
      </c>
      <c r="F487" s="11" t="s">
        <v>17</v>
      </c>
      <c r="G487" s="11">
        <v>5</v>
      </c>
      <c r="H487" s="11">
        <v>157.28</v>
      </c>
      <c r="I487" s="11">
        <v>0.05</v>
      </c>
      <c r="J487" s="11">
        <v>747.08</v>
      </c>
      <c r="K487" s="11">
        <v>526.45000000000005</v>
      </c>
      <c r="L487" s="11">
        <v>220.63</v>
      </c>
      <c r="M487" s="11" t="s">
        <v>18</v>
      </c>
      <c r="N487" s="11" t="s">
        <v>727</v>
      </c>
      <c r="O487" s="18" t="s">
        <v>727</v>
      </c>
      <c r="P487" s="35">
        <f t="shared" si="15"/>
        <v>45951</v>
      </c>
      <c r="Q487" s="16" t="str">
        <f t="shared" si="16"/>
        <v>2025-10</v>
      </c>
      <c r="R487" s="50"/>
    </row>
    <row r="488" spans="1:18">
      <c r="A488" s="21" t="s">
        <v>286</v>
      </c>
      <c r="B488" s="19">
        <v>45875</v>
      </c>
      <c r="C488" s="16" t="s">
        <v>287</v>
      </c>
      <c r="D488" s="16" t="s">
        <v>34</v>
      </c>
      <c r="E488" s="16" t="s">
        <v>35</v>
      </c>
      <c r="F488" s="16" t="s">
        <v>30</v>
      </c>
      <c r="G488" s="16">
        <v>5</v>
      </c>
      <c r="H488" s="16">
        <v>150.87</v>
      </c>
      <c r="I488" s="16">
        <v>0</v>
      </c>
      <c r="J488" s="16">
        <v>754.35</v>
      </c>
      <c r="K488" s="16">
        <v>425.52</v>
      </c>
      <c r="L488" s="16">
        <v>328.83</v>
      </c>
      <c r="M488" s="16" t="s">
        <v>18</v>
      </c>
      <c r="N488" s="16" t="s">
        <v>727</v>
      </c>
      <c r="O488" s="17" t="s">
        <v>727</v>
      </c>
      <c r="P488" s="35">
        <f t="shared" si="15"/>
        <v>45875</v>
      </c>
      <c r="Q488" s="16" t="str">
        <f t="shared" si="16"/>
        <v>2025-08</v>
      </c>
      <c r="R488" s="50"/>
    </row>
    <row r="489" spans="1:18">
      <c r="A489" s="20" t="s">
        <v>517</v>
      </c>
      <c r="B489" s="10">
        <v>45809</v>
      </c>
      <c r="C489" s="11" t="s">
        <v>518</v>
      </c>
      <c r="D489" s="11" t="s">
        <v>45</v>
      </c>
      <c r="E489" s="11" t="s">
        <v>22</v>
      </c>
      <c r="F489" s="11" t="s">
        <v>30</v>
      </c>
      <c r="G489" s="11">
        <v>5</v>
      </c>
      <c r="H489" s="11">
        <v>178.94</v>
      </c>
      <c r="I489" s="11">
        <v>0.15</v>
      </c>
      <c r="J489" s="11">
        <v>760.5</v>
      </c>
      <c r="K489" s="11">
        <v>560.51</v>
      </c>
      <c r="L489" s="11">
        <v>199.99</v>
      </c>
      <c r="M489" s="11" t="s">
        <v>18</v>
      </c>
      <c r="N489" s="11" t="s">
        <v>727</v>
      </c>
      <c r="O489" s="18" t="s">
        <v>727</v>
      </c>
      <c r="P489" s="35">
        <f t="shared" si="15"/>
        <v>45809</v>
      </c>
      <c r="Q489" s="16" t="str">
        <f t="shared" si="16"/>
        <v>2025-06</v>
      </c>
      <c r="R489" s="50"/>
    </row>
    <row r="490" spans="1:18">
      <c r="A490" s="21" t="s">
        <v>485</v>
      </c>
      <c r="B490" s="19">
        <v>45721</v>
      </c>
      <c r="C490" s="16" t="s">
        <v>331</v>
      </c>
      <c r="D490" s="16" t="s">
        <v>48</v>
      </c>
      <c r="E490" s="16" t="s">
        <v>35</v>
      </c>
      <c r="F490" s="16" t="s">
        <v>30</v>
      </c>
      <c r="G490" s="16">
        <v>5</v>
      </c>
      <c r="H490" s="16">
        <v>152.16</v>
      </c>
      <c r="I490" s="16">
        <v>0</v>
      </c>
      <c r="J490" s="16">
        <v>760.8</v>
      </c>
      <c r="K490" s="16">
        <v>516.4</v>
      </c>
      <c r="L490" s="16">
        <v>244.4</v>
      </c>
      <c r="M490" s="16" t="s">
        <v>18</v>
      </c>
      <c r="N490" s="16" t="s">
        <v>727</v>
      </c>
      <c r="O490" s="17" t="s">
        <v>727</v>
      </c>
      <c r="P490" s="35">
        <f t="shared" si="15"/>
        <v>45721</v>
      </c>
      <c r="Q490" s="16" t="str">
        <f t="shared" si="16"/>
        <v>2025-03</v>
      </c>
      <c r="R490" s="50"/>
    </row>
    <row r="491" spans="1:18">
      <c r="A491" s="20" t="s">
        <v>132</v>
      </c>
      <c r="B491" s="10">
        <v>45853</v>
      </c>
      <c r="C491" s="11" t="s">
        <v>120</v>
      </c>
      <c r="D491" s="11" t="s">
        <v>110</v>
      </c>
      <c r="E491" s="11" t="s">
        <v>35</v>
      </c>
      <c r="F491" s="11" t="s">
        <v>30</v>
      </c>
      <c r="G491" s="11">
        <v>5</v>
      </c>
      <c r="H491" s="11">
        <v>153.32</v>
      </c>
      <c r="I491" s="11">
        <v>0</v>
      </c>
      <c r="J491" s="11">
        <v>766.6</v>
      </c>
      <c r="K491" s="11">
        <v>608.94000000000005</v>
      </c>
      <c r="L491" s="11">
        <v>157.66</v>
      </c>
      <c r="M491" s="11" t="s">
        <v>18</v>
      </c>
      <c r="N491" s="11" t="s">
        <v>727</v>
      </c>
      <c r="O491" s="18" t="s">
        <v>727</v>
      </c>
      <c r="P491" s="35">
        <f t="shared" si="15"/>
        <v>45853</v>
      </c>
      <c r="Q491" s="16" t="str">
        <f t="shared" si="16"/>
        <v>2025-07</v>
      </c>
      <c r="R491" s="50"/>
    </row>
    <row r="492" spans="1:18">
      <c r="A492" s="21" t="s">
        <v>610</v>
      </c>
      <c r="B492" s="19">
        <v>45905</v>
      </c>
      <c r="C492" s="16" t="s">
        <v>253</v>
      </c>
      <c r="D492" s="16" t="s">
        <v>110</v>
      </c>
      <c r="E492" s="16" t="s">
        <v>35</v>
      </c>
      <c r="F492" s="16" t="s">
        <v>23</v>
      </c>
      <c r="G492" s="16">
        <v>5</v>
      </c>
      <c r="H492" s="16">
        <v>170.49</v>
      </c>
      <c r="I492" s="16">
        <v>0.1</v>
      </c>
      <c r="J492" s="16">
        <v>767.2</v>
      </c>
      <c r="K492" s="16">
        <v>625.19000000000005</v>
      </c>
      <c r="L492" s="16">
        <v>142.01</v>
      </c>
      <c r="M492" s="16" t="s">
        <v>18</v>
      </c>
      <c r="N492" s="16" t="s">
        <v>727</v>
      </c>
      <c r="O492" s="17" t="s">
        <v>727</v>
      </c>
      <c r="P492" s="35">
        <f t="shared" si="15"/>
        <v>45905</v>
      </c>
      <c r="Q492" s="16" t="str">
        <f t="shared" si="16"/>
        <v>2025-09</v>
      </c>
      <c r="R492" s="50"/>
    </row>
    <row r="493" spans="1:18">
      <c r="A493" s="20" t="s">
        <v>670</v>
      </c>
      <c r="B493" s="10">
        <v>45836</v>
      </c>
      <c r="C493" s="11" t="s">
        <v>100</v>
      </c>
      <c r="D493" s="11" t="s">
        <v>53</v>
      </c>
      <c r="E493" s="11" t="s">
        <v>42</v>
      </c>
      <c r="F493" s="11" t="s">
        <v>36</v>
      </c>
      <c r="G493" s="11">
        <v>5</v>
      </c>
      <c r="H493" s="11">
        <v>175.9</v>
      </c>
      <c r="I493" s="11">
        <v>0.1</v>
      </c>
      <c r="J493" s="11">
        <v>791.55</v>
      </c>
      <c r="K493" s="11">
        <v>524.51</v>
      </c>
      <c r="L493" s="11">
        <v>267.04000000000002</v>
      </c>
      <c r="M493" s="11" t="s">
        <v>18</v>
      </c>
      <c r="N493" s="11" t="s">
        <v>727</v>
      </c>
      <c r="O493" s="18" t="s">
        <v>727</v>
      </c>
      <c r="P493" s="35">
        <f t="shared" si="15"/>
        <v>45836</v>
      </c>
      <c r="Q493" s="16" t="str">
        <f t="shared" si="16"/>
        <v>2025-06</v>
      </c>
      <c r="R493" s="50"/>
    </row>
    <row r="494" spans="1:18">
      <c r="A494" s="21" t="s">
        <v>169</v>
      </c>
      <c r="B494" s="19">
        <v>45859</v>
      </c>
      <c r="C494" s="16" t="s">
        <v>170</v>
      </c>
      <c r="D494" s="16" t="s">
        <v>70</v>
      </c>
      <c r="E494" s="16" t="s">
        <v>35</v>
      </c>
      <c r="F494" s="16" t="s">
        <v>30</v>
      </c>
      <c r="G494" s="16">
        <v>5</v>
      </c>
      <c r="H494" s="16">
        <v>179.42</v>
      </c>
      <c r="I494" s="16">
        <v>0.1</v>
      </c>
      <c r="J494" s="16">
        <v>807.39</v>
      </c>
      <c r="K494" s="16">
        <v>630.33000000000004</v>
      </c>
      <c r="L494" s="16">
        <v>177.06</v>
      </c>
      <c r="M494" s="16" t="s">
        <v>31</v>
      </c>
      <c r="N494" s="16" t="s">
        <v>727</v>
      </c>
      <c r="O494" s="17" t="s">
        <v>727</v>
      </c>
      <c r="P494" s="35">
        <f t="shared" si="15"/>
        <v>45859</v>
      </c>
      <c r="Q494" s="16" t="str">
        <f t="shared" si="16"/>
        <v>2025-07</v>
      </c>
      <c r="R494" s="50"/>
    </row>
    <row r="495" spans="1:18">
      <c r="A495" s="20" t="s">
        <v>541</v>
      </c>
      <c r="B495" s="10">
        <v>45722</v>
      </c>
      <c r="C495" s="11" t="s">
        <v>259</v>
      </c>
      <c r="D495" s="11" t="s">
        <v>21</v>
      </c>
      <c r="E495" s="11" t="s">
        <v>22</v>
      </c>
      <c r="F495" s="11" t="s">
        <v>17</v>
      </c>
      <c r="G495" s="11">
        <v>5</v>
      </c>
      <c r="H495" s="11">
        <v>169.76</v>
      </c>
      <c r="I495" s="11">
        <v>0</v>
      </c>
      <c r="J495" s="11">
        <v>848.8</v>
      </c>
      <c r="K495" s="11">
        <v>703.88</v>
      </c>
      <c r="L495" s="11">
        <v>144.91999999999999</v>
      </c>
      <c r="M495" s="11" t="s">
        <v>18</v>
      </c>
      <c r="N495" s="11" t="s">
        <v>727</v>
      </c>
      <c r="O495" s="18" t="s">
        <v>727</v>
      </c>
      <c r="P495" s="35">
        <f t="shared" si="15"/>
        <v>45722</v>
      </c>
      <c r="Q495" s="16" t="str">
        <f t="shared" si="16"/>
        <v>2025-03</v>
      </c>
      <c r="R495" s="50"/>
    </row>
    <row r="496" spans="1:18">
      <c r="A496" s="21" t="s">
        <v>408</v>
      </c>
      <c r="B496" s="19">
        <v>45786</v>
      </c>
      <c r="C496" s="16" t="s">
        <v>20</v>
      </c>
      <c r="D496" s="16" t="s">
        <v>41</v>
      </c>
      <c r="E496" s="16" t="s">
        <v>42</v>
      </c>
      <c r="F496" s="16" t="s">
        <v>23</v>
      </c>
      <c r="G496" s="16">
        <v>5</v>
      </c>
      <c r="H496" s="16">
        <v>172.47</v>
      </c>
      <c r="I496" s="16">
        <v>0</v>
      </c>
      <c r="J496" s="16">
        <v>862.35</v>
      </c>
      <c r="K496" s="16">
        <v>500.72</v>
      </c>
      <c r="L496" s="16">
        <v>361.63</v>
      </c>
      <c r="M496" s="16" t="s">
        <v>18</v>
      </c>
      <c r="N496" s="16" t="s">
        <v>727</v>
      </c>
      <c r="O496" s="17" t="s">
        <v>727</v>
      </c>
      <c r="P496" s="35">
        <f t="shared" si="15"/>
        <v>45786</v>
      </c>
      <c r="Q496" s="16" t="str">
        <f t="shared" si="16"/>
        <v>2025-05</v>
      </c>
      <c r="R496" s="50"/>
    </row>
    <row r="497" spans="1:28">
      <c r="A497" s="20" t="s">
        <v>350</v>
      </c>
      <c r="B497" s="10">
        <v>45771</v>
      </c>
      <c r="C497" s="11" t="s">
        <v>180</v>
      </c>
      <c r="D497" s="11" t="s">
        <v>21</v>
      </c>
      <c r="E497" s="11" t="s">
        <v>22</v>
      </c>
      <c r="F497" s="11" t="s">
        <v>36</v>
      </c>
      <c r="G497" s="11">
        <v>5</v>
      </c>
      <c r="H497" s="11">
        <v>173.7</v>
      </c>
      <c r="I497" s="11">
        <v>0</v>
      </c>
      <c r="J497" s="11">
        <v>868.5</v>
      </c>
      <c r="K497" s="11">
        <v>650.05999999999995</v>
      </c>
      <c r="L497" s="11">
        <v>218.44</v>
      </c>
      <c r="M497" s="11" t="s">
        <v>18</v>
      </c>
      <c r="N497" s="11" t="s">
        <v>727</v>
      </c>
      <c r="O497" s="18" t="s">
        <v>727</v>
      </c>
      <c r="P497" s="35">
        <f t="shared" si="15"/>
        <v>45771</v>
      </c>
      <c r="Q497" s="16" t="str">
        <f t="shared" si="16"/>
        <v>2025-04</v>
      </c>
      <c r="R497" s="50"/>
    </row>
    <row r="498" spans="1:28">
      <c r="A498" s="21" t="s">
        <v>525</v>
      </c>
      <c r="B498" s="19">
        <v>45679</v>
      </c>
      <c r="C498" s="16" t="s">
        <v>275</v>
      </c>
      <c r="D498" s="16" t="s">
        <v>88</v>
      </c>
      <c r="E498" s="16" t="s">
        <v>16</v>
      </c>
      <c r="F498" s="16" t="s">
        <v>36</v>
      </c>
      <c r="G498" s="16">
        <v>5</v>
      </c>
      <c r="H498" s="16">
        <v>175.1</v>
      </c>
      <c r="I498" s="16">
        <v>0</v>
      </c>
      <c r="J498" s="16">
        <v>875.5</v>
      </c>
      <c r="K498" s="16">
        <v>674.32</v>
      </c>
      <c r="L498" s="16">
        <v>201.18</v>
      </c>
      <c r="M498" s="16" t="s">
        <v>18</v>
      </c>
      <c r="N498" s="16" t="s">
        <v>727</v>
      </c>
      <c r="O498" s="17" t="s">
        <v>727</v>
      </c>
      <c r="P498" s="35">
        <f t="shared" si="15"/>
        <v>45679</v>
      </c>
      <c r="Q498" s="16" t="str">
        <f t="shared" si="16"/>
        <v>2025-01</v>
      </c>
      <c r="R498" s="50"/>
    </row>
    <row r="499" spans="1:28">
      <c r="A499" s="20" t="s">
        <v>450</v>
      </c>
      <c r="B499" s="10">
        <v>45962</v>
      </c>
      <c r="C499" s="11" t="s">
        <v>352</v>
      </c>
      <c r="D499" s="11" t="s">
        <v>105</v>
      </c>
      <c r="E499" s="11" t="s">
        <v>42</v>
      </c>
      <c r="F499" s="11" t="s">
        <v>17</v>
      </c>
      <c r="G499" s="11">
        <v>5</v>
      </c>
      <c r="H499" s="11">
        <v>176.78</v>
      </c>
      <c r="I499" s="11">
        <v>0</v>
      </c>
      <c r="J499" s="11">
        <v>883.9</v>
      </c>
      <c r="K499" s="11">
        <v>659.61</v>
      </c>
      <c r="L499" s="11">
        <v>224.29</v>
      </c>
      <c r="M499" s="11" t="s">
        <v>18</v>
      </c>
      <c r="N499" s="11" t="s">
        <v>727</v>
      </c>
      <c r="O499" s="18" t="s">
        <v>727</v>
      </c>
      <c r="P499" s="35">
        <f t="shared" si="15"/>
        <v>45962</v>
      </c>
      <c r="Q499" s="16" t="str">
        <f t="shared" si="16"/>
        <v>2025-11</v>
      </c>
      <c r="R499" s="50"/>
    </row>
    <row r="500" spans="1:28">
      <c r="A500" s="15" t="s">
        <v>295</v>
      </c>
      <c r="B500" s="12">
        <v>45772</v>
      </c>
      <c r="C500" s="13" t="s">
        <v>102</v>
      </c>
      <c r="D500" s="13" t="s">
        <v>48</v>
      </c>
      <c r="E500" s="13" t="s">
        <v>35</v>
      </c>
      <c r="F500" s="13" t="s">
        <v>23</v>
      </c>
      <c r="G500" s="13">
        <v>5</v>
      </c>
      <c r="H500" s="13">
        <v>178.53</v>
      </c>
      <c r="I500" s="13">
        <v>0</v>
      </c>
      <c r="J500" s="13">
        <v>892.65</v>
      </c>
      <c r="K500" s="13">
        <v>727.4</v>
      </c>
      <c r="L500" s="13">
        <v>165.25</v>
      </c>
      <c r="M500" s="13" t="s">
        <v>31</v>
      </c>
      <c r="N500" s="13" t="s">
        <v>727</v>
      </c>
      <c r="O500" s="14" t="s">
        <v>727</v>
      </c>
      <c r="P500" s="37">
        <f t="shared" si="15"/>
        <v>45772</v>
      </c>
      <c r="Q500" s="13" t="str">
        <f t="shared" si="16"/>
        <v>2025-04</v>
      </c>
      <c r="R500" s="50"/>
      <c r="AB500" s="51"/>
    </row>
  </sheetData>
  <conditionalFormatting sqref="A1">
    <cfRule type="duplicateValues" dxfId="27" priority="2"/>
  </conditionalFormatting>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9"/>
  <sheetViews>
    <sheetView workbookViewId="0">
      <selection activeCell="A17" sqref="A17"/>
    </sheetView>
  </sheetViews>
  <sheetFormatPr defaultRowHeight="15"/>
  <cols>
    <col min="1" max="1" width="11.140625" customWidth="1"/>
    <col min="2" max="2" width="13.42578125" customWidth="1"/>
    <col min="3" max="3" width="14.5703125" customWidth="1"/>
    <col min="4" max="4" width="10" customWidth="1"/>
    <col min="5" max="5" width="11" customWidth="1"/>
    <col min="6" max="6" width="9.28515625" customWidth="1"/>
    <col min="7" max="7" width="10.85546875" customWidth="1"/>
    <col min="8" max="8" width="12.42578125" customWidth="1"/>
    <col min="9" max="9" width="10.85546875" customWidth="1"/>
    <col min="10" max="10" width="11" customWidth="1"/>
    <col min="13" max="13" width="14.7109375" customWidth="1"/>
    <col min="14" max="14" width="20.140625" customWidth="1"/>
    <col min="15" max="15" width="13.7109375" customWidth="1"/>
    <col min="16" max="16" width="15.5703125" customWidth="1"/>
    <col min="17" max="17" width="14.140625" customWidth="1"/>
  </cols>
  <sheetData>
    <row r="1" spans="1:17">
      <c r="A1" t="s">
        <v>0</v>
      </c>
      <c r="B1" t="s">
        <v>1</v>
      </c>
      <c r="C1" t="s">
        <v>2</v>
      </c>
      <c r="D1" t="s">
        <v>3</v>
      </c>
      <c r="E1" t="s">
        <v>4</v>
      </c>
      <c r="F1" t="s">
        <v>5</v>
      </c>
      <c r="G1" t="s">
        <v>6</v>
      </c>
      <c r="H1" t="s">
        <v>7</v>
      </c>
      <c r="I1" t="s">
        <v>8</v>
      </c>
      <c r="J1" t="s">
        <v>9</v>
      </c>
      <c r="K1" t="s">
        <v>10</v>
      </c>
      <c r="L1" t="s">
        <v>11</v>
      </c>
      <c r="M1" t="s">
        <v>12</v>
      </c>
      <c r="N1" t="s">
        <v>725</v>
      </c>
      <c r="O1" t="s">
        <v>726</v>
      </c>
      <c r="P1" t="s">
        <v>735</v>
      </c>
      <c r="Q1" t="s">
        <v>736</v>
      </c>
    </row>
    <row r="2" spans="1:17">
      <c r="A2" t="s">
        <v>199</v>
      </c>
      <c r="B2" s="32">
        <v>46007</v>
      </c>
      <c r="C2" t="s">
        <v>14</v>
      </c>
      <c r="D2" t="s">
        <v>70</v>
      </c>
      <c r="E2" t="s">
        <v>35</v>
      </c>
      <c r="F2" t="s">
        <v>36</v>
      </c>
      <c r="G2">
        <v>1</v>
      </c>
      <c r="H2">
        <v>9.3000000000000007</v>
      </c>
      <c r="I2">
        <v>0</v>
      </c>
      <c r="J2">
        <v>9.3000000000000007</v>
      </c>
      <c r="K2">
        <v>6.13</v>
      </c>
      <c r="L2">
        <v>3.17</v>
      </c>
      <c r="M2" t="s">
        <v>24</v>
      </c>
      <c r="N2" t="s">
        <v>727</v>
      </c>
      <c r="O2" t="s">
        <v>727</v>
      </c>
      <c r="P2" s="32">
        <v>46007</v>
      </c>
      <c r="Q2" t="s">
        <v>748</v>
      </c>
    </row>
    <row r="3" spans="1:17">
      <c r="A3" t="s">
        <v>295</v>
      </c>
      <c r="B3" s="32">
        <v>45772</v>
      </c>
      <c r="C3" t="s">
        <v>102</v>
      </c>
      <c r="D3" t="s">
        <v>48</v>
      </c>
      <c r="E3" t="s">
        <v>35</v>
      </c>
      <c r="F3" t="s">
        <v>23</v>
      </c>
      <c r="G3">
        <v>5</v>
      </c>
      <c r="H3">
        <v>178.53</v>
      </c>
      <c r="I3">
        <v>0</v>
      </c>
      <c r="J3">
        <v>892.65</v>
      </c>
      <c r="K3">
        <v>727.4</v>
      </c>
      <c r="L3">
        <v>165.25</v>
      </c>
      <c r="M3" t="s">
        <v>31</v>
      </c>
      <c r="N3" t="s">
        <v>727</v>
      </c>
      <c r="O3" t="s">
        <v>727</v>
      </c>
      <c r="P3" s="32">
        <v>45772</v>
      </c>
      <c r="Q3" t="s">
        <v>740</v>
      </c>
    </row>
    <row r="4" spans="1:17">
      <c r="A4" t="s">
        <v>169</v>
      </c>
      <c r="B4" s="32">
        <v>45859</v>
      </c>
      <c r="C4" t="s">
        <v>170</v>
      </c>
      <c r="D4" t="s">
        <v>70</v>
      </c>
      <c r="E4" t="s">
        <v>35</v>
      </c>
      <c r="F4" t="s">
        <v>30</v>
      </c>
      <c r="G4">
        <v>5</v>
      </c>
      <c r="H4">
        <v>179.42</v>
      </c>
      <c r="I4">
        <v>0.1</v>
      </c>
      <c r="J4">
        <v>807.39</v>
      </c>
      <c r="K4">
        <v>630.33000000000004</v>
      </c>
      <c r="L4">
        <v>177.06</v>
      </c>
      <c r="M4" t="s">
        <v>31</v>
      </c>
      <c r="N4" t="s">
        <v>727</v>
      </c>
      <c r="O4" t="s">
        <v>727</v>
      </c>
      <c r="P4" s="32">
        <v>45859</v>
      </c>
      <c r="Q4" t="s">
        <v>743</v>
      </c>
    </row>
    <row r="5" spans="1:17">
      <c r="A5" t="s">
        <v>610</v>
      </c>
      <c r="B5" s="32">
        <v>45905</v>
      </c>
      <c r="C5" t="s">
        <v>253</v>
      </c>
      <c r="D5" t="s">
        <v>110</v>
      </c>
      <c r="E5" t="s">
        <v>35</v>
      </c>
      <c r="F5" t="s">
        <v>23</v>
      </c>
      <c r="G5">
        <v>5</v>
      </c>
      <c r="H5">
        <v>170.49</v>
      </c>
      <c r="I5">
        <v>0.1</v>
      </c>
      <c r="J5">
        <v>767.2</v>
      </c>
      <c r="K5">
        <v>625.19000000000005</v>
      </c>
      <c r="L5">
        <v>142.01</v>
      </c>
      <c r="M5" t="s">
        <v>18</v>
      </c>
      <c r="N5" t="s">
        <v>727</v>
      </c>
      <c r="O5" t="s">
        <v>727</v>
      </c>
      <c r="P5" s="32">
        <v>45905</v>
      </c>
      <c r="Q5" t="s">
        <v>745</v>
      </c>
    </row>
    <row r="6" spans="1:17">
      <c r="A6" t="s">
        <v>483</v>
      </c>
      <c r="B6" s="32">
        <v>45782</v>
      </c>
      <c r="C6" t="s">
        <v>484</v>
      </c>
      <c r="D6" t="s">
        <v>34</v>
      </c>
      <c r="E6" t="s">
        <v>35</v>
      </c>
      <c r="F6" t="s">
        <v>36</v>
      </c>
      <c r="G6">
        <v>1</v>
      </c>
      <c r="H6">
        <v>16.28</v>
      </c>
      <c r="I6">
        <v>0.15</v>
      </c>
      <c r="J6">
        <v>13.84</v>
      </c>
      <c r="K6">
        <v>11.15</v>
      </c>
      <c r="L6">
        <v>2.69</v>
      </c>
      <c r="M6" t="s">
        <v>18</v>
      </c>
      <c r="N6" t="s">
        <v>727</v>
      </c>
      <c r="O6" t="s">
        <v>727</v>
      </c>
      <c r="P6" s="32">
        <v>45782</v>
      </c>
      <c r="Q6" t="s">
        <v>741</v>
      </c>
    </row>
    <row r="7" spans="1:17">
      <c r="A7" t="s">
        <v>132</v>
      </c>
      <c r="B7" s="32">
        <v>45853</v>
      </c>
      <c r="C7" t="s">
        <v>120</v>
      </c>
      <c r="D7" t="s">
        <v>110</v>
      </c>
      <c r="E7" t="s">
        <v>35</v>
      </c>
      <c r="F7" t="s">
        <v>30</v>
      </c>
      <c r="G7">
        <v>5</v>
      </c>
      <c r="H7">
        <v>153.32</v>
      </c>
      <c r="I7">
        <v>0</v>
      </c>
      <c r="J7">
        <v>766.6</v>
      </c>
      <c r="K7">
        <v>608.94000000000005</v>
      </c>
      <c r="L7">
        <v>157.66</v>
      </c>
      <c r="M7" t="s">
        <v>18</v>
      </c>
      <c r="N7" t="s">
        <v>727</v>
      </c>
      <c r="O7" t="s">
        <v>727</v>
      </c>
      <c r="P7" s="32">
        <v>45853</v>
      </c>
      <c r="Q7" t="s">
        <v>743</v>
      </c>
    </row>
    <row r="8" spans="1:17">
      <c r="A8" t="s">
        <v>323</v>
      </c>
      <c r="B8" s="32">
        <v>46005</v>
      </c>
      <c r="C8" t="s">
        <v>278</v>
      </c>
      <c r="D8" t="s">
        <v>110</v>
      </c>
      <c r="E8" t="s">
        <v>35</v>
      </c>
      <c r="F8" t="s">
        <v>23</v>
      </c>
      <c r="G8">
        <v>1</v>
      </c>
      <c r="H8">
        <v>16.940000000000001</v>
      </c>
      <c r="I8">
        <v>0.05</v>
      </c>
      <c r="J8">
        <v>16.09</v>
      </c>
      <c r="K8">
        <v>12.27</v>
      </c>
      <c r="L8">
        <v>3.82</v>
      </c>
      <c r="M8" t="s">
        <v>18</v>
      </c>
      <c r="N8" t="s">
        <v>727</v>
      </c>
      <c r="O8" t="s">
        <v>727</v>
      </c>
      <c r="P8" s="32">
        <v>46005</v>
      </c>
      <c r="Q8" t="s">
        <v>748</v>
      </c>
    </row>
    <row r="9" spans="1:17">
      <c r="A9" t="s">
        <v>485</v>
      </c>
      <c r="B9" s="32">
        <v>45721</v>
      </c>
      <c r="C9" t="s">
        <v>331</v>
      </c>
      <c r="D9" t="s">
        <v>48</v>
      </c>
      <c r="E9" t="s">
        <v>35</v>
      </c>
      <c r="F9" t="s">
        <v>30</v>
      </c>
      <c r="G9">
        <v>5</v>
      </c>
      <c r="H9">
        <v>152.16</v>
      </c>
      <c r="I9">
        <v>0</v>
      </c>
      <c r="J9">
        <v>760.8</v>
      </c>
      <c r="K9">
        <v>516.4</v>
      </c>
      <c r="L9">
        <v>244.4</v>
      </c>
      <c r="M9" t="s">
        <v>18</v>
      </c>
      <c r="N9" t="s">
        <v>727</v>
      </c>
      <c r="O9" t="s">
        <v>727</v>
      </c>
      <c r="P9" s="32">
        <v>45721</v>
      </c>
      <c r="Q9" t="s">
        <v>739</v>
      </c>
    </row>
    <row r="10" spans="1:17">
      <c r="A10" t="s">
        <v>286</v>
      </c>
      <c r="B10" s="32">
        <v>45875</v>
      </c>
      <c r="C10" t="s">
        <v>287</v>
      </c>
      <c r="D10" t="s">
        <v>34</v>
      </c>
      <c r="E10" t="s">
        <v>35</v>
      </c>
      <c r="F10" t="s">
        <v>30</v>
      </c>
      <c r="G10">
        <v>5</v>
      </c>
      <c r="H10">
        <v>150.87</v>
      </c>
      <c r="I10">
        <v>0</v>
      </c>
      <c r="J10">
        <v>754.35</v>
      </c>
      <c r="K10">
        <v>425.52</v>
      </c>
      <c r="L10">
        <v>328.83</v>
      </c>
      <c r="M10" t="s">
        <v>18</v>
      </c>
      <c r="N10" t="s">
        <v>727</v>
      </c>
      <c r="O10" t="s">
        <v>727</v>
      </c>
      <c r="P10" s="32">
        <v>45875</v>
      </c>
      <c r="Q10" t="s">
        <v>744</v>
      </c>
    </row>
    <row r="11" spans="1:17">
      <c r="A11" t="s">
        <v>348</v>
      </c>
      <c r="B11" s="32">
        <v>45951</v>
      </c>
      <c r="C11" t="s">
        <v>65</v>
      </c>
      <c r="D11" t="s">
        <v>110</v>
      </c>
      <c r="E11" t="s">
        <v>35</v>
      </c>
      <c r="F11" t="s">
        <v>17</v>
      </c>
      <c r="G11">
        <v>5</v>
      </c>
      <c r="H11">
        <v>157.28</v>
      </c>
      <c r="I11">
        <v>0.05</v>
      </c>
      <c r="J11">
        <v>747.08</v>
      </c>
      <c r="K11">
        <v>526.45000000000005</v>
      </c>
      <c r="L11">
        <v>220.63</v>
      </c>
      <c r="M11" t="s">
        <v>18</v>
      </c>
      <c r="N11" t="s">
        <v>727</v>
      </c>
      <c r="O11" t="s">
        <v>727</v>
      </c>
      <c r="P11" s="32">
        <v>45951</v>
      </c>
      <c r="Q11" t="s">
        <v>746</v>
      </c>
    </row>
    <row r="12" spans="1:17">
      <c r="A12" t="s">
        <v>693</v>
      </c>
      <c r="B12" s="32">
        <v>45773</v>
      </c>
      <c r="C12" t="s">
        <v>282</v>
      </c>
      <c r="D12" t="s">
        <v>34</v>
      </c>
      <c r="E12" t="s">
        <v>35</v>
      </c>
      <c r="F12" t="s">
        <v>30</v>
      </c>
      <c r="G12">
        <v>5</v>
      </c>
      <c r="H12">
        <v>139.22</v>
      </c>
      <c r="I12">
        <v>0</v>
      </c>
      <c r="J12">
        <v>696.1</v>
      </c>
      <c r="K12">
        <v>517.88</v>
      </c>
      <c r="L12">
        <v>178.22</v>
      </c>
      <c r="M12" t="s">
        <v>18</v>
      </c>
      <c r="N12" t="s">
        <v>727</v>
      </c>
      <c r="O12" t="s">
        <v>727</v>
      </c>
      <c r="P12" s="32">
        <v>45773</v>
      </c>
      <c r="Q12" t="s">
        <v>740</v>
      </c>
    </row>
    <row r="13" spans="1:17">
      <c r="A13" t="s">
        <v>211</v>
      </c>
      <c r="B13" s="32">
        <v>45733</v>
      </c>
      <c r="C13" t="s">
        <v>131</v>
      </c>
      <c r="D13" t="s">
        <v>110</v>
      </c>
      <c r="E13" t="s">
        <v>35</v>
      </c>
      <c r="F13" t="s">
        <v>30</v>
      </c>
      <c r="G13">
        <v>4</v>
      </c>
      <c r="H13">
        <v>173.98</v>
      </c>
      <c r="I13">
        <v>0</v>
      </c>
      <c r="J13">
        <v>695.92</v>
      </c>
      <c r="K13">
        <v>535.34</v>
      </c>
      <c r="L13">
        <v>160.58000000000001</v>
      </c>
      <c r="M13" t="s">
        <v>18</v>
      </c>
      <c r="N13" t="s">
        <v>727</v>
      </c>
      <c r="O13" t="s">
        <v>727</v>
      </c>
      <c r="P13" s="32">
        <v>45733</v>
      </c>
      <c r="Q13" t="s">
        <v>739</v>
      </c>
    </row>
    <row r="14" spans="1:17">
      <c r="A14" t="s">
        <v>171</v>
      </c>
      <c r="B14" s="32">
        <v>45945</v>
      </c>
      <c r="C14" t="s">
        <v>172</v>
      </c>
      <c r="D14" t="s">
        <v>110</v>
      </c>
      <c r="E14" t="s">
        <v>35</v>
      </c>
      <c r="F14" t="s">
        <v>23</v>
      </c>
      <c r="G14">
        <v>1</v>
      </c>
      <c r="H14">
        <v>30.22</v>
      </c>
      <c r="I14">
        <v>0.2</v>
      </c>
      <c r="J14">
        <v>24.18</v>
      </c>
      <c r="K14">
        <v>17.7</v>
      </c>
      <c r="L14">
        <v>6.48</v>
      </c>
      <c r="M14" t="s">
        <v>18</v>
      </c>
      <c r="N14" t="s">
        <v>727</v>
      </c>
      <c r="O14" t="s">
        <v>727</v>
      </c>
      <c r="P14" s="32">
        <v>45945</v>
      </c>
      <c r="Q14" t="s">
        <v>746</v>
      </c>
    </row>
    <row r="15" spans="1:17">
      <c r="A15" t="s">
        <v>142</v>
      </c>
      <c r="B15" s="32">
        <v>45790</v>
      </c>
      <c r="C15" t="s">
        <v>143</v>
      </c>
      <c r="D15" t="s">
        <v>34</v>
      </c>
      <c r="E15" t="s">
        <v>35</v>
      </c>
      <c r="F15" t="s">
        <v>17</v>
      </c>
      <c r="G15">
        <v>5</v>
      </c>
      <c r="H15">
        <v>168.12</v>
      </c>
      <c r="I15">
        <v>0.2</v>
      </c>
      <c r="J15">
        <v>672.48</v>
      </c>
      <c r="K15">
        <v>570.79</v>
      </c>
      <c r="L15">
        <v>101.69</v>
      </c>
      <c r="M15" t="s">
        <v>18</v>
      </c>
      <c r="N15" t="s">
        <v>727</v>
      </c>
      <c r="O15" t="s">
        <v>727</v>
      </c>
      <c r="P15" s="32">
        <v>45790</v>
      </c>
      <c r="Q15" t="s">
        <v>741</v>
      </c>
    </row>
    <row r="16" spans="1:17">
      <c r="A16" t="s">
        <v>362</v>
      </c>
      <c r="B16" s="32">
        <v>45949</v>
      </c>
      <c r="C16" t="s">
        <v>69</v>
      </c>
      <c r="D16" t="s">
        <v>70</v>
      </c>
      <c r="E16" t="s">
        <v>35</v>
      </c>
      <c r="F16" t="s">
        <v>17</v>
      </c>
      <c r="G16">
        <v>3</v>
      </c>
      <c r="H16">
        <v>9.3000000000000007</v>
      </c>
      <c r="I16">
        <v>0.1</v>
      </c>
      <c r="J16">
        <v>25.11</v>
      </c>
      <c r="K16">
        <v>20.58</v>
      </c>
      <c r="L16">
        <v>4.53</v>
      </c>
      <c r="M16" t="s">
        <v>18</v>
      </c>
      <c r="N16" t="s">
        <v>727</v>
      </c>
      <c r="O16" t="s">
        <v>727</v>
      </c>
      <c r="P16" s="32">
        <v>45949</v>
      </c>
      <c r="Q16" t="s">
        <v>746</v>
      </c>
    </row>
    <row r="17" spans="1:20">
      <c r="A17" t="s">
        <v>372</v>
      </c>
      <c r="B17" s="32">
        <v>45735</v>
      </c>
      <c r="C17" t="s">
        <v>206</v>
      </c>
      <c r="D17" t="s">
        <v>70</v>
      </c>
      <c r="E17" t="s">
        <v>35</v>
      </c>
      <c r="F17" t="s">
        <v>30</v>
      </c>
      <c r="G17">
        <v>5</v>
      </c>
      <c r="H17">
        <v>118.42</v>
      </c>
      <c r="I17">
        <v>0.1</v>
      </c>
      <c r="J17">
        <v>532.89</v>
      </c>
      <c r="K17">
        <v>380.49</v>
      </c>
      <c r="L17">
        <v>152.4</v>
      </c>
      <c r="M17" t="s">
        <v>18</v>
      </c>
      <c r="N17" t="s">
        <v>727</v>
      </c>
      <c r="O17" t="s">
        <v>727</v>
      </c>
      <c r="P17" s="32">
        <v>45735</v>
      </c>
      <c r="Q17" t="s">
        <v>739</v>
      </c>
    </row>
    <row r="18" spans="1:20">
      <c r="A18" t="s">
        <v>134</v>
      </c>
      <c r="B18" s="32">
        <v>45925</v>
      </c>
      <c r="C18" t="s">
        <v>135</v>
      </c>
      <c r="D18" t="s">
        <v>48</v>
      </c>
      <c r="E18" t="s">
        <v>35</v>
      </c>
      <c r="F18" t="s">
        <v>17</v>
      </c>
      <c r="G18">
        <v>3</v>
      </c>
      <c r="H18">
        <v>178.37</v>
      </c>
      <c r="I18">
        <v>0.05</v>
      </c>
      <c r="J18">
        <v>508.35</v>
      </c>
      <c r="K18">
        <v>336.33</v>
      </c>
      <c r="L18">
        <v>172.02</v>
      </c>
      <c r="M18" t="s">
        <v>31</v>
      </c>
      <c r="N18" t="s">
        <v>727</v>
      </c>
      <c r="O18" t="s">
        <v>727</v>
      </c>
      <c r="P18" s="32">
        <v>45925</v>
      </c>
      <c r="Q18" t="s">
        <v>745</v>
      </c>
    </row>
    <row r="19" spans="1:20">
      <c r="A19" t="s">
        <v>62</v>
      </c>
      <c r="B19" s="32">
        <v>45900</v>
      </c>
      <c r="C19" t="s">
        <v>63</v>
      </c>
      <c r="D19" t="s">
        <v>34</v>
      </c>
      <c r="E19" t="s">
        <v>35</v>
      </c>
      <c r="F19" t="s">
        <v>23</v>
      </c>
      <c r="G19">
        <v>5</v>
      </c>
      <c r="H19">
        <v>100.85</v>
      </c>
      <c r="I19">
        <v>0</v>
      </c>
      <c r="J19">
        <v>504.25</v>
      </c>
      <c r="K19">
        <v>419.97</v>
      </c>
      <c r="L19">
        <v>84.28</v>
      </c>
      <c r="M19" t="s">
        <v>18</v>
      </c>
      <c r="N19" t="s">
        <v>727</v>
      </c>
      <c r="O19" t="s">
        <v>727</v>
      </c>
      <c r="P19" s="32">
        <v>45900</v>
      </c>
      <c r="Q19" t="s">
        <v>744</v>
      </c>
    </row>
    <row r="20" spans="1:20">
      <c r="A20" t="s">
        <v>68</v>
      </c>
      <c r="B20" s="32">
        <v>45882</v>
      </c>
      <c r="C20" t="s">
        <v>69</v>
      </c>
      <c r="D20" t="s">
        <v>70</v>
      </c>
      <c r="E20" t="s">
        <v>35</v>
      </c>
      <c r="F20" t="s">
        <v>36</v>
      </c>
      <c r="G20">
        <v>3</v>
      </c>
      <c r="H20">
        <v>9.1999999999999993</v>
      </c>
      <c r="I20">
        <v>0.05</v>
      </c>
      <c r="J20">
        <v>26.22</v>
      </c>
      <c r="K20">
        <v>17.7</v>
      </c>
      <c r="L20">
        <v>8.52</v>
      </c>
      <c r="M20" t="s">
        <v>31</v>
      </c>
      <c r="N20" t="s">
        <v>727</v>
      </c>
      <c r="O20" t="s">
        <v>727</v>
      </c>
      <c r="P20" s="32">
        <v>45882</v>
      </c>
      <c r="Q20" t="s">
        <v>744</v>
      </c>
    </row>
    <row r="21" spans="1:20">
      <c r="A21" t="s">
        <v>336</v>
      </c>
      <c r="B21" s="32">
        <v>45671</v>
      </c>
      <c r="C21" t="s">
        <v>337</v>
      </c>
      <c r="D21" t="s">
        <v>34</v>
      </c>
      <c r="E21" t="s">
        <v>35</v>
      </c>
      <c r="F21" t="s">
        <v>36</v>
      </c>
      <c r="G21">
        <v>1</v>
      </c>
      <c r="H21">
        <v>30.63</v>
      </c>
      <c r="I21">
        <v>0.1</v>
      </c>
      <c r="J21">
        <v>27.57</v>
      </c>
      <c r="K21">
        <v>22.68</v>
      </c>
      <c r="L21">
        <v>4.8899999999999997</v>
      </c>
      <c r="M21" t="s">
        <v>18</v>
      </c>
      <c r="N21" t="s">
        <v>727</v>
      </c>
      <c r="O21" t="s">
        <v>727</v>
      </c>
      <c r="P21" s="32">
        <v>45671</v>
      </c>
      <c r="Q21" t="s">
        <v>737</v>
      </c>
    </row>
    <row r="22" spans="1:20">
      <c r="A22" t="s">
        <v>635</v>
      </c>
      <c r="B22" s="32">
        <v>45952</v>
      </c>
      <c r="C22" t="s">
        <v>138</v>
      </c>
      <c r="D22" t="s">
        <v>110</v>
      </c>
      <c r="E22" t="s">
        <v>35</v>
      </c>
      <c r="F22" t="s">
        <v>23</v>
      </c>
      <c r="G22">
        <v>5</v>
      </c>
      <c r="H22">
        <v>99.59</v>
      </c>
      <c r="I22">
        <v>0</v>
      </c>
      <c r="J22">
        <v>497.95</v>
      </c>
      <c r="K22">
        <v>364.35</v>
      </c>
      <c r="L22">
        <v>133.6</v>
      </c>
      <c r="M22" t="s">
        <v>31</v>
      </c>
      <c r="N22" t="s">
        <v>727</v>
      </c>
      <c r="O22" t="s">
        <v>727</v>
      </c>
      <c r="P22" s="32">
        <v>45952</v>
      </c>
      <c r="Q22" t="s">
        <v>746</v>
      </c>
    </row>
    <row r="23" spans="1:20">
      <c r="A23" t="s">
        <v>524</v>
      </c>
      <c r="B23" s="32">
        <v>45720</v>
      </c>
      <c r="C23" t="s">
        <v>224</v>
      </c>
      <c r="D23" t="s">
        <v>48</v>
      </c>
      <c r="E23" t="s">
        <v>35</v>
      </c>
      <c r="F23" t="s">
        <v>17</v>
      </c>
      <c r="G23">
        <v>4</v>
      </c>
      <c r="H23">
        <v>8.5399999999999991</v>
      </c>
      <c r="I23">
        <v>0.1</v>
      </c>
      <c r="J23">
        <v>30.74</v>
      </c>
      <c r="K23">
        <v>19.66</v>
      </c>
      <c r="L23">
        <v>11.08</v>
      </c>
      <c r="M23" t="s">
        <v>18</v>
      </c>
      <c r="N23" t="s">
        <v>727</v>
      </c>
      <c r="O23" t="s">
        <v>727</v>
      </c>
      <c r="P23" s="32">
        <v>45720</v>
      </c>
      <c r="Q23" t="s">
        <v>739</v>
      </c>
    </row>
    <row r="24" spans="1:20">
      <c r="A24" t="s">
        <v>489</v>
      </c>
      <c r="B24" s="32">
        <v>45724</v>
      </c>
      <c r="C24" t="s">
        <v>63</v>
      </c>
      <c r="D24" t="s">
        <v>34</v>
      </c>
      <c r="E24" t="s">
        <v>35</v>
      </c>
      <c r="F24" t="s">
        <v>23</v>
      </c>
      <c r="G24">
        <v>4</v>
      </c>
      <c r="H24">
        <v>124.35</v>
      </c>
      <c r="I24">
        <v>0</v>
      </c>
      <c r="J24">
        <v>497.4</v>
      </c>
      <c r="K24">
        <v>308.52</v>
      </c>
      <c r="L24">
        <v>188.88</v>
      </c>
      <c r="M24" t="s">
        <v>24</v>
      </c>
      <c r="N24" t="s">
        <v>727</v>
      </c>
      <c r="O24" t="s">
        <v>727</v>
      </c>
      <c r="P24" s="32">
        <v>45724</v>
      </c>
      <c r="Q24" t="s">
        <v>739</v>
      </c>
    </row>
    <row r="25" spans="1:20">
      <c r="A25" t="s">
        <v>660</v>
      </c>
      <c r="B25" s="32">
        <v>45828</v>
      </c>
      <c r="C25" t="s">
        <v>454</v>
      </c>
      <c r="D25" t="s">
        <v>70</v>
      </c>
      <c r="E25" t="s">
        <v>35</v>
      </c>
      <c r="F25" t="s">
        <v>30</v>
      </c>
      <c r="G25">
        <v>5</v>
      </c>
      <c r="H25">
        <v>108.95</v>
      </c>
      <c r="I25">
        <v>0.1</v>
      </c>
      <c r="J25">
        <v>490.28</v>
      </c>
      <c r="K25">
        <v>415.37</v>
      </c>
      <c r="L25">
        <v>74.91</v>
      </c>
      <c r="M25" t="s">
        <v>18</v>
      </c>
      <c r="N25" t="s">
        <v>727</v>
      </c>
      <c r="O25" t="s">
        <v>727</v>
      </c>
      <c r="P25" s="32">
        <v>45828</v>
      </c>
      <c r="Q25" t="s">
        <v>742</v>
      </c>
      <c r="T25" s="51"/>
    </row>
    <row r="26" spans="1:20">
      <c r="A26" t="s">
        <v>577</v>
      </c>
      <c r="B26" s="32">
        <v>45725</v>
      </c>
      <c r="C26" t="s">
        <v>79</v>
      </c>
      <c r="D26" t="s">
        <v>110</v>
      </c>
      <c r="E26" t="s">
        <v>35</v>
      </c>
      <c r="F26" t="s">
        <v>23</v>
      </c>
      <c r="G26">
        <v>1</v>
      </c>
      <c r="H26">
        <v>38.14</v>
      </c>
      <c r="I26">
        <v>0.15</v>
      </c>
      <c r="J26">
        <v>32.42</v>
      </c>
      <c r="K26">
        <v>20.58</v>
      </c>
      <c r="L26">
        <v>11.84</v>
      </c>
      <c r="M26" t="s">
        <v>31</v>
      </c>
      <c r="N26" t="s">
        <v>727</v>
      </c>
      <c r="O26" t="s">
        <v>727</v>
      </c>
      <c r="P26" s="32">
        <v>45725</v>
      </c>
      <c r="Q26" t="s">
        <v>739</v>
      </c>
    </row>
    <row r="27" spans="1:20">
      <c r="A27" t="s">
        <v>612</v>
      </c>
      <c r="B27" s="32">
        <v>45987</v>
      </c>
      <c r="C27" t="s">
        <v>240</v>
      </c>
      <c r="D27" t="s">
        <v>110</v>
      </c>
      <c r="E27" t="s">
        <v>35</v>
      </c>
      <c r="F27" t="s">
        <v>17</v>
      </c>
      <c r="G27">
        <v>4</v>
      </c>
      <c r="H27">
        <v>132.82</v>
      </c>
      <c r="I27">
        <v>0.1</v>
      </c>
      <c r="J27">
        <v>478.15</v>
      </c>
      <c r="K27">
        <v>369.05</v>
      </c>
      <c r="L27">
        <v>109.1</v>
      </c>
      <c r="M27" t="s">
        <v>18</v>
      </c>
      <c r="N27" t="s">
        <v>727</v>
      </c>
      <c r="O27" t="s">
        <v>727</v>
      </c>
      <c r="P27" s="32">
        <v>45987</v>
      </c>
      <c r="Q27" t="s">
        <v>747</v>
      </c>
    </row>
    <row r="28" spans="1:20">
      <c r="A28" t="s">
        <v>430</v>
      </c>
      <c r="B28" s="32">
        <v>45711</v>
      </c>
      <c r="C28" t="s">
        <v>268</v>
      </c>
      <c r="D28" t="s">
        <v>48</v>
      </c>
      <c r="E28" t="s">
        <v>35</v>
      </c>
      <c r="F28" t="s">
        <v>30</v>
      </c>
      <c r="G28">
        <v>5</v>
      </c>
      <c r="H28">
        <v>100.66</v>
      </c>
      <c r="I28">
        <v>0.05</v>
      </c>
      <c r="J28">
        <v>478.13</v>
      </c>
      <c r="K28">
        <v>384.61</v>
      </c>
      <c r="L28">
        <v>93.52</v>
      </c>
      <c r="M28" t="s">
        <v>18</v>
      </c>
      <c r="N28" t="s">
        <v>727</v>
      </c>
      <c r="O28" t="s">
        <v>727</v>
      </c>
      <c r="P28" s="32">
        <v>45711</v>
      </c>
      <c r="Q28" t="s">
        <v>738</v>
      </c>
    </row>
    <row r="29" spans="1:20">
      <c r="A29" t="s">
        <v>602</v>
      </c>
      <c r="B29" s="32">
        <v>45785</v>
      </c>
      <c r="C29" t="s">
        <v>174</v>
      </c>
      <c r="D29" t="s">
        <v>70</v>
      </c>
      <c r="E29" t="s">
        <v>35</v>
      </c>
      <c r="F29" t="s">
        <v>30</v>
      </c>
      <c r="G29">
        <v>4</v>
      </c>
      <c r="H29">
        <v>123.49</v>
      </c>
      <c r="I29">
        <v>0.1</v>
      </c>
      <c r="J29">
        <v>444.56</v>
      </c>
      <c r="K29">
        <v>271.05</v>
      </c>
      <c r="L29">
        <v>173.51</v>
      </c>
      <c r="M29" t="s">
        <v>18</v>
      </c>
      <c r="N29" t="s">
        <v>727</v>
      </c>
      <c r="O29" t="s">
        <v>727</v>
      </c>
      <c r="P29" s="32">
        <v>45785</v>
      </c>
      <c r="Q29" t="s">
        <v>741</v>
      </c>
    </row>
    <row r="30" spans="1:20">
      <c r="A30" t="s">
        <v>292</v>
      </c>
      <c r="B30" s="32">
        <v>45918</v>
      </c>
      <c r="C30" t="s">
        <v>79</v>
      </c>
      <c r="D30" t="s">
        <v>70</v>
      </c>
      <c r="E30" t="s">
        <v>35</v>
      </c>
      <c r="F30" t="s">
        <v>17</v>
      </c>
      <c r="G30">
        <v>3</v>
      </c>
      <c r="H30">
        <v>172.37</v>
      </c>
      <c r="I30">
        <v>0.15</v>
      </c>
      <c r="J30">
        <v>439.54</v>
      </c>
      <c r="K30">
        <v>348.49</v>
      </c>
      <c r="L30">
        <v>91.05</v>
      </c>
      <c r="M30" t="s">
        <v>18</v>
      </c>
      <c r="N30" t="s">
        <v>727</v>
      </c>
      <c r="O30" t="s">
        <v>727</v>
      </c>
      <c r="P30" s="32">
        <v>45918</v>
      </c>
      <c r="Q30" t="s">
        <v>745</v>
      </c>
    </row>
    <row r="31" spans="1:20">
      <c r="A31" t="s">
        <v>101</v>
      </c>
      <c r="B31" s="32">
        <v>45818</v>
      </c>
      <c r="C31" t="s">
        <v>102</v>
      </c>
      <c r="D31" t="s">
        <v>70</v>
      </c>
      <c r="E31" t="s">
        <v>35</v>
      </c>
      <c r="F31" t="s">
        <v>23</v>
      </c>
      <c r="G31">
        <v>5</v>
      </c>
      <c r="H31">
        <v>106.43</v>
      </c>
      <c r="I31">
        <v>0.2</v>
      </c>
      <c r="J31">
        <v>425.72</v>
      </c>
      <c r="K31">
        <v>243.77</v>
      </c>
      <c r="L31">
        <v>181.95</v>
      </c>
      <c r="M31" t="s">
        <v>31</v>
      </c>
      <c r="N31" t="s">
        <v>727</v>
      </c>
      <c r="O31" t="s">
        <v>727</v>
      </c>
      <c r="P31" s="32">
        <v>45818</v>
      </c>
      <c r="Q31" t="s">
        <v>742</v>
      </c>
    </row>
    <row r="32" spans="1:20">
      <c r="A32" t="s">
        <v>557</v>
      </c>
      <c r="B32" s="32">
        <v>45871</v>
      </c>
      <c r="C32" t="s">
        <v>297</v>
      </c>
      <c r="D32" t="s">
        <v>48</v>
      </c>
      <c r="E32" t="s">
        <v>35</v>
      </c>
      <c r="F32" t="s">
        <v>23</v>
      </c>
      <c r="G32">
        <v>3</v>
      </c>
      <c r="H32">
        <v>150.72</v>
      </c>
      <c r="I32">
        <v>0.1</v>
      </c>
      <c r="J32">
        <v>406.94</v>
      </c>
      <c r="K32">
        <v>259.36</v>
      </c>
      <c r="L32">
        <v>147.58000000000001</v>
      </c>
      <c r="M32" t="s">
        <v>31</v>
      </c>
      <c r="N32" t="s">
        <v>727</v>
      </c>
      <c r="O32" t="s">
        <v>727</v>
      </c>
      <c r="P32" s="32">
        <v>45871</v>
      </c>
      <c r="Q32" t="s">
        <v>744</v>
      </c>
    </row>
    <row r="33" spans="1:17">
      <c r="A33" t="s">
        <v>46</v>
      </c>
      <c r="B33" s="32">
        <v>46002</v>
      </c>
      <c r="C33" t="s">
        <v>47</v>
      </c>
      <c r="D33" t="s">
        <v>48</v>
      </c>
      <c r="E33" t="s">
        <v>35</v>
      </c>
      <c r="F33" t="s">
        <v>30</v>
      </c>
      <c r="G33">
        <v>4</v>
      </c>
      <c r="H33">
        <v>101.34</v>
      </c>
      <c r="I33">
        <v>0</v>
      </c>
      <c r="J33">
        <v>405.36</v>
      </c>
      <c r="K33">
        <v>320.5</v>
      </c>
      <c r="L33">
        <v>84.86</v>
      </c>
      <c r="M33" t="s">
        <v>18</v>
      </c>
      <c r="N33" t="s">
        <v>727</v>
      </c>
      <c r="O33" t="s">
        <v>727</v>
      </c>
      <c r="P33" s="32">
        <v>46002</v>
      </c>
      <c r="Q33" t="s">
        <v>748</v>
      </c>
    </row>
    <row r="34" spans="1:17">
      <c r="A34" t="s">
        <v>595</v>
      </c>
      <c r="B34" s="32">
        <v>45825</v>
      </c>
      <c r="C34" t="s">
        <v>170</v>
      </c>
      <c r="D34" t="s">
        <v>34</v>
      </c>
      <c r="E34" t="s">
        <v>35</v>
      </c>
      <c r="F34" t="s">
        <v>30</v>
      </c>
      <c r="G34">
        <v>4</v>
      </c>
      <c r="H34">
        <v>104.14</v>
      </c>
      <c r="I34">
        <v>0.05</v>
      </c>
      <c r="J34">
        <v>395.73</v>
      </c>
      <c r="K34">
        <v>301.49</v>
      </c>
      <c r="L34">
        <v>94.24</v>
      </c>
      <c r="M34" t="s">
        <v>18</v>
      </c>
      <c r="N34" t="s">
        <v>727</v>
      </c>
      <c r="O34" t="s">
        <v>727</v>
      </c>
      <c r="P34" s="32">
        <v>45825</v>
      </c>
      <c r="Q34" t="s">
        <v>742</v>
      </c>
    </row>
    <row r="35" spans="1:17">
      <c r="A35" t="s">
        <v>585</v>
      </c>
      <c r="B35" s="32">
        <v>45974</v>
      </c>
      <c r="C35" t="s">
        <v>359</v>
      </c>
      <c r="D35" t="s">
        <v>70</v>
      </c>
      <c r="E35" t="s">
        <v>35</v>
      </c>
      <c r="F35" t="s">
        <v>23</v>
      </c>
      <c r="G35">
        <v>4</v>
      </c>
      <c r="H35">
        <v>97.87</v>
      </c>
      <c r="I35">
        <v>0</v>
      </c>
      <c r="J35">
        <v>391.48</v>
      </c>
      <c r="K35">
        <v>329.6</v>
      </c>
      <c r="L35">
        <v>61.88</v>
      </c>
      <c r="M35" t="s">
        <v>31</v>
      </c>
      <c r="N35" t="s">
        <v>727</v>
      </c>
      <c r="O35" t="s">
        <v>727</v>
      </c>
      <c r="P35" s="32">
        <v>45974</v>
      </c>
      <c r="Q35" t="s">
        <v>747</v>
      </c>
    </row>
    <row r="36" spans="1:17">
      <c r="A36" t="s">
        <v>167</v>
      </c>
      <c r="B36" s="32">
        <v>45968</v>
      </c>
      <c r="C36" t="s">
        <v>168</v>
      </c>
      <c r="D36" t="s">
        <v>110</v>
      </c>
      <c r="E36" t="s">
        <v>35</v>
      </c>
      <c r="F36" t="s">
        <v>23</v>
      </c>
      <c r="G36">
        <v>3</v>
      </c>
      <c r="H36">
        <v>152.84</v>
      </c>
      <c r="I36">
        <v>0.15</v>
      </c>
      <c r="J36">
        <v>389.74</v>
      </c>
      <c r="K36">
        <v>269.16000000000003</v>
      </c>
      <c r="L36">
        <v>120.58</v>
      </c>
      <c r="M36" t="s">
        <v>18</v>
      </c>
      <c r="N36" t="s">
        <v>727</v>
      </c>
      <c r="O36" t="s">
        <v>727</v>
      </c>
      <c r="P36" s="32">
        <v>45968</v>
      </c>
      <c r="Q36" t="s">
        <v>747</v>
      </c>
    </row>
    <row r="37" spans="1:17">
      <c r="A37" t="s">
        <v>615</v>
      </c>
      <c r="B37" s="32">
        <v>45956</v>
      </c>
      <c r="C37" t="s">
        <v>107</v>
      </c>
      <c r="D37" t="s">
        <v>70</v>
      </c>
      <c r="E37" t="s">
        <v>35</v>
      </c>
      <c r="F37" t="s">
        <v>36</v>
      </c>
      <c r="G37">
        <v>4</v>
      </c>
      <c r="H37">
        <v>10.36</v>
      </c>
      <c r="I37">
        <v>0</v>
      </c>
      <c r="J37">
        <v>41.44</v>
      </c>
      <c r="K37">
        <v>25.46</v>
      </c>
      <c r="L37">
        <v>15.98</v>
      </c>
      <c r="M37" t="s">
        <v>31</v>
      </c>
      <c r="N37" t="s">
        <v>727</v>
      </c>
      <c r="O37" t="s">
        <v>727</v>
      </c>
      <c r="P37" s="32">
        <v>45956</v>
      </c>
      <c r="Q37" t="s">
        <v>746</v>
      </c>
    </row>
    <row r="38" spans="1:17">
      <c r="A38" t="s">
        <v>683</v>
      </c>
      <c r="B38" s="32">
        <v>45696</v>
      </c>
      <c r="C38" t="s">
        <v>285</v>
      </c>
      <c r="D38" t="s">
        <v>110</v>
      </c>
      <c r="E38" t="s">
        <v>35</v>
      </c>
      <c r="F38" t="s">
        <v>30</v>
      </c>
      <c r="G38">
        <v>3</v>
      </c>
      <c r="H38">
        <v>134.63</v>
      </c>
      <c r="I38">
        <v>0.05</v>
      </c>
      <c r="J38">
        <v>383.7</v>
      </c>
      <c r="K38">
        <v>311.14</v>
      </c>
      <c r="L38">
        <v>72.56</v>
      </c>
      <c r="M38" t="s">
        <v>24</v>
      </c>
      <c r="N38" t="s">
        <v>727</v>
      </c>
      <c r="O38" t="s">
        <v>727</v>
      </c>
      <c r="P38" s="32">
        <v>45696</v>
      </c>
      <c r="Q38" t="s">
        <v>738</v>
      </c>
    </row>
    <row r="39" spans="1:17">
      <c r="A39" t="s">
        <v>255</v>
      </c>
      <c r="B39" s="32">
        <v>45733</v>
      </c>
      <c r="C39" t="s">
        <v>256</v>
      </c>
      <c r="D39" t="s">
        <v>110</v>
      </c>
      <c r="E39" t="s">
        <v>35</v>
      </c>
      <c r="F39" t="s">
        <v>30</v>
      </c>
      <c r="G39">
        <v>4</v>
      </c>
      <c r="H39">
        <v>93.67</v>
      </c>
      <c r="I39">
        <v>0</v>
      </c>
      <c r="J39">
        <v>374.68</v>
      </c>
      <c r="K39">
        <v>251.63</v>
      </c>
      <c r="L39">
        <v>123.05</v>
      </c>
      <c r="M39" t="s">
        <v>18</v>
      </c>
      <c r="N39" t="s">
        <v>727</v>
      </c>
      <c r="O39" t="s">
        <v>727</v>
      </c>
      <c r="P39" s="32">
        <v>45733</v>
      </c>
      <c r="Q39" t="s">
        <v>739</v>
      </c>
    </row>
    <row r="40" spans="1:17">
      <c r="A40" t="s">
        <v>439</v>
      </c>
      <c r="B40" s="32">
        <v>45732</v>
      </c>
      <c r="C40" t="s">
        <v>321</v>
      </c>
      <c r="D40" t="s">
        <v>110</v>
      </c>
      <c r="E40" t="s">
        <v>35</v>
      </c>
      <c r="F40" t="s">
        <v>30</v>
      </c>
      <c r="G40">
        <v>4</v>
      </c>
      <c r="H40">
        <v>93.34</v>
      </c>
      <c r="I40">
        <v>0</v>
      </c>
      <c r="J40">
        <v>373.36</v>
      </c>
      <c r="K40">
        <v>282.18</v>
      </c>
      <c r="L40">
        <v>91.18</v>
      </c>
      <c r="M40" t="s">
        <v>24</v>
      </c>
      <c r="N40" t="s">
        <v>727</v>
      </c>
      <c r="O40" t="s">
        <v>727</v>
      </c>
      <c r="P40" s="32">
        <v>45732</v>
      </c>
      <c r="Q40" t="s">
        <v>739</v>
      </c>
    </row>
    <row r="41" spans="1:17">
      <c r="A41" t="s">
        <v>702</v>
      </c>
      <c r="B41" s="32">
        <v>45895</v>
      </c>
      <c r="C41" t="s">
        <v>38</v>
      </c>
      <c r="D41" t="s">
        <v>70</v>
      </c>
      <c r="E41" t="s">
        <v>35</v>
      </c>
      <c r="F41" t="s">
        <v>23</v>
      </c>
      <c r="G41">
        <v>4</v>
      </c>
      <c r="H41">
        <v>115.1</v>
      </c>
      <c r="I41">
        <v>0.2</v>
      </c>
      <c r="J41">
        <v>368.32</v>
      </c>
      <c r="K41">
        <v>237.04</v>
      </c>
      <c r="L41">
        <v>131.28</v>
      </c>
      <c r="M41" t="s">
        <v>18</v>
      </c>
      <c r="N41" t="s">
        <v>727</v>
      </c>
      <c r="O41" t="s">
        <v>727</v>
      </c>
      <c r="P41" s="32">
        <v>45895</v>
      </c>
      <c r="Q41" t="s">
        <v>744</v>
      </c>
    </row>
    <row r="42" spans="1:17">
      <c r="A42" t="s">
        <v>236</v>
      </c>
      <c r="B42" s="32">
        <v>45962</v>
      </c>
      <c r="C42" t="s">
        <v>237</v>
      </c>
      <c r="D42" t="s">
        <v>88</v>
      </c>
      <c r="E42" t="s">
        <v>35</v>
      </c>
      <c r="F42" t="s">
        <v>30</v>
      </c>
      <c r="G42">
        <v>5</v>
      </c>
      <c r="H42">
        <v>76.34</v>
      </c>
      <c r="I42">
        <v>0.05</v>
      </c>
      <c r="J42">
        <v>362.62</v>
      </c>
      <c r="K42">
        <v>286.45</v>
      </c>
      <c r="L42">
        <v>76.17</v>
      </c>
      <c r="M42" t="s">
        <v>31</v>
      </c>
      <c r="N42" t="s">
        <v>727</v>
      </c>
      <c r="O42" t="s">
        <v>727</v>
      </c>
      <c r="P42" s="32">
        <v>45962</v>
      </c>
      <c r="Q42" t="s">
        <v>747</v>
      </c>
    </row>
    <row r="43" spans="1:17">
      <c r="A43" t="s">
        <v>346</v>
      </c>
      <c r="B43" s="32">
        <v>45956</v>
      </c>
      <c r="C43" t="s">
        <v>347</v>
      </c>
      <c r="D43" t="s">
        <v>70</v>
      </c>
      <c r="E43" t="s">
        <v>35</v>
      </c>
      <c r="F43" t="s">
        <v>36</v>
      </c>
      <c r="G43">
        <v>3</v>
      </c>
      <c r="H43">
        <v>15.15</v>
      </c>
      <c r="I43">
        <v>0</v>
      </c>
      <c r="J43">
        <v>45.45</v>
      </c>
      <c r="K43">
        <v>38.450000000000003</v>
      </c>
      <c r="L43">
        <v>7</v>
      </c>
      <c r="M43" t="s">
        <v>18</v>
      </c>
      <c r="N43" t="s">
        <v>727</v>
      </c>
      <c r="O43" t="s">
        <v>727</v>
      </c>
      <c r="P43" s="32">
        <v>45956</v>
      </c>
      <c r="Q43" t="s">
        <v>746</v>
      </c>
    </row>
    <row r="44" spans="1:17">
      <c r="A44" t="s">
        <v>534</v>
      </c>
      <c r="B44" s="32">
        <v>45970</v>
      </c>
      <c r="C44" t="s">
        <v>535</v>
      </c>
      <c r="D44" t="s">
        <v>70</v>
      </c>
      <c r="E44" t="s">
        <v>35</v>
      </c>
      <c r="F44" t="s">
        <v>36</v>
      </c>
      <c r="G44">
        <v>1</v>
      </c>
      <c r="H44">
        <v>45.72</v>
      </c>
      <c r="I44">
        <v>0</v>
      </c>
      <c r="J44">
        <v>45.72</v>
      </c>
      <c r="K44">
        <v>28.09</v>
      </c>
      <c r="L44">
        <v>17.63</v>
      </c>
      <c r="M44" t="s">
        <v>18</v>
      </c>
      <c r="N44" t="s">
        <v>727</v>
      </c>
      <c r="O44" t="s">
        <v>727</v>
      </c>
      <c r="P44" s="32">
        <v>45970</v>
      </c>
      <c r="Q44" t="s">
        <v>747</v>
      </c>
    </row>
    <row r="45" spans="1:17">
      <c r="A45" t="s">
        <v>136</v>
      </c>
      <c r="B45" s="32">
        <v>45874</v>
      </c>
      <c r="C45" t="s">
        <v>63</v>
      </c>
      <c r="D45" t="s">
        <v>34</v>
      </c>
      <c r="E45" t="s">
        <v>35</v>
      </c>
      <c r="F45" t="s">
        <v>30</v>
      </c>
      <c r="G45">
        <v>1</v>
      </c>
      <c r="H45">
        <v>48.98</v>
      </c>
      <c r="I45">
        <v>0.05</v>
      </c>
      <c r="J45">
        <v>46.53</v>
      </c>
      <c r="K45">
        <v>33.049999999999997</v>
      </c>
      <c r="L45">
        <v>13.48</v>
      </c>
      <c r="M45" t="s">
        <v>24</v>
      </c>
      <c r="N45" t="s">
        <v>727</v>
      </c>
      <c r="O45" t="s">
        <v>727</v>
      </c>
      <c r="P45" s="32">
        <v>45874</v>
      </c>
      <c r="Q45" t="s">
        <v>744</v>
      </c>
    </row>
    <row r="46" spans="1:17">
      <c r="A46" t="s">
        <v>99</v>
      </c>
      <c r="B46" s="32">
        <v>45890</v>
      </c>
      <c r="C46" t="s">
        <v>100</v>
      </c>
      <c r="D46" t="s">
        <v>48</v>
      </c>
      <c r="E46" t="s">
        <v>35</v>
      </c>
      <c r="F46" t="s">
        <v>23</v>
      </c>
      <c r="G46">
        <v>4</v>
      </c>
      <c r="H46">
        <v>88.83</v>
      </c>
      <c r="I46">
        <v>0</v>
      </c>
      <c r="J46">
        <v>355.32</v>
      </c>
      <c r="K46">
        <v>289.60000000000002</v>
      </c>
      <c r="L46">
        <v>65.72</v>
      </c>
      <c r="M46" t="s">
        <v>24</v>
      </c>
      <c r="N46" t="s">
        <v>727</v>
      </c>
      <c r="O46" t="s">
        <v>727</v>
      </c>
      <c r="P46" s="32">
        <v>45890</v>
      </c>
      <c r="Q46" t="s">
        <v>744</v>
      </c>
    </row>
    <row r="47" spans="1:17">
      <c r="A47" t="s">
        <v>630</v>
      </c>
      <c r="B47" s="32">
        <v>45904</v>
      </c>
      <c r="C47" t="s">
        <v>38</v>
      </c>
      <c r="D47" t="s">
        <v>70</v>
      </c>
      <c r="E47" t="s">
        <v>35</v>
      </c>
      <c r="F47" t="s">
        <v>30</v>
      </c>
      <c r="G47">
        <v>5</v>
      </c>
      <c r="H47">
        <v>78.709999999999994</v>
      </c>
      <c r="I47">
        <v>0.1</v>
      </c>
      <c r="J47">
        <v>354.2</v>
      </c>
      <c r="K47">
        <v>235.7</v>
      </c>
      <c r="L47">
        <v>118.5</v>
      </c>
      <c r="M47" t="s">
        <v>31</v>
      </c>
      <c r="N47" t="s">
        <v>727</v>
      </c>
      <c r="O47" t="s">
        <v>727</v>
      </c>
      <c r="P47" s="32">
        <v>45904</v>
      </c>
      <c r="Q47" t="s">
        <v>745</v>
      </c>
    </row>
    <row r="48" spans="1:17">
      <c r="A48" t="s">
        <v>482</v>
      </c>
      <c r="B48" s="32">
        <v>45799</v>
      </c>
      <c r="C48" t="s">
        <v>33</v>
      </c>
      <c r="D48" t="s">
        <v>48</v>
      </c>
      <c r="E48" t="s">
        <v>35</v>
      </c>
      <c r="F48" t="s">
        <v>17</v>
      </c>
      <c r="G48">
        <v>1</v>
      </c>
      <c r="H48">
        <v>49.61</v>
      </c>
      <c r="I48">
        <v>0</v>
      </c>
      <c r="J48">
        <v>49.61</v>
      </c>
      <c r="K48">
        <v>34.26</v>
      </c>
      <c r="L48">
        <v>15.35</v>
      </c>
      <c r="M48" t="s">
        <v>18</v>
      </c>
      <c r="N48" t="s">
        <v>727</v>
      </c>
      <c r="O48" t="s">
        <v>727</v>
      </c>
      <c r="P48" s="32">
        <v>45799</v>
      </c>
      <c r="Q48" t="s">
        <v>741</v>
      </c>
    </row>
    <row r="49" spans="1:17">
      <c r="A49" t="s">
        <v>213</v>
      </c>
      <c r="B49" s="32">
        <v>45699</v>
      </c>
      <c r="C49" t="s">
        <v>214</v>
      </c>
      <c r="D49" t="s">
        <v>70</v>
      </c>
      <c r="E49" t="s">
        <v>35</v>
      </c>
      <c r="F49" t="s">
        <v>36</v>
      </c>
      <c r="G49">
        <v>3</v>
      </c>
      <c r="H49">
        <v>122.41</v>
      </c>
      <c r="I49">
        <v>0.05</v>
      </c>
      <c r="J49">
        <v>348.87</v>
      </c>
      <c r="K49">
        <v>229.43</v>
      </c>
      <c r="L49">
        <v>119.44</v>
      </c>
      <c r="M49" t="s">
        <v>31</v>
      </c>
      <c r="N49" t="s">
        <v>727</v>
      </c>
      <c r="O49" t="s">
        <v>727</v>
      </c>
      <c r="P49" s="32">
        <v>45699</v>
      </c>
      <c r="Q49" t="s">
        <v>738</v>
      </c>
    </row>
    <row r="50" spans="1:17">
      <c r="A50" t="s">
        <v>592</v>
      </c>
      <c r="B50" s="32">
        <v>45965</v>
      </c>
      <c r="C50" t="s">
        <v>359</v>
      </c>
      <c r="D50" t="s">
        <v>110</v>
      </c>
      <c r="E50" t="s">
        <v>35</v>
      </c>
      <c r="F50" t="s">
        <v>30</v>
      </c>
      <c r="G50">
        <v>3</v>
      </c>
      <c r="H50">
        <v>16.93</v>
      </c>
      <c r="I50">
        <v>0</v>
      </c>
      <c r="J50">
        <v>50.79</v>
      </c>
      <c r="K50">
        <v>31.19</v>
      </c>
      <c r="L50">
        <v>19.600000000000001</v>
      </c>
      <c r="M50" t="s">
        <v>24</v>
      </c>
      <c r="N50" t="s">
        <v>727</v>
      </c>
      <c r="O50" t="s">
        <v>727</v>
      </c>
      <c r="P50" s="32">
        <v>45965</v>
      </c>
      <c r="Q50" t="s">
        <v>747</v>
      </c>
    </row>
    <row r="51" spans="1:17">
      <c r="A51" t="s">
        <v>228</v>
      </c>
      <c r="B51" s="32">
        <v>45959</v>
      </c>
      <c r="C51" t="s">
        <v>55</v>
      </c>
      <c r="D51" t="s">
        <v>110</v>
      </c>
      <c r="E51" t="s">
        <v>35</v>
      </c>
      <c r="F51" t="s">
        <v>30</v>
      </c>
      <c r="G51">
        <v>3</v>
      </c>
      <c r="H51">
        <v>134.66999999999999</v>
      </c>
      <c r="I51">
        <v>0.15</v>
      </c>
      <c r="J51">
        <v>343.41</v>
      </c>
      <c r="K51">
        <v>284.23</v>
      </c>
      <c r="L51">
        <v>59.18</v>
      </c>
      <c r="M51" t="s">
        <v>18</v>
      </c>
      <c r="N51" t="s">
        <v>727</v>
      </c>
      <c r="O51" t="s">
        <v>727</v>
      </c>
      <c r="P51" s="32">
        <v>45959</v>
      </c>
      <c r="Q51" t="s">
        <v>746</v>
      </c>
    </row>
    <row r="52" spans="1:17">
      <c r="A52" t="s">
        <v>481</v>
      </c>
      <c r="B52" s="32">
        <v>45777</v>
      </c>
      <c r="C52" t="s">
        <v>147</v>
      </c>
      <c r="D52" t="s">
        <v>34</v>
      </c>
      <c r="E52" t="s">
        <v>35</v>
      </c>
      <c r="F52" t="s">
        <v>30</v>
      </c>
      <c r="G52">
        <v>1</v>
      </c>
      <c r="H52">
        <v>60.42</v>
      </c>
      <c r="I52">
        <v>0.15</v>
      </c>
      <c r="J52">
        <v>51.36</v>
      </c>
      <c r="K52">
        <v>32.590000000000003</v>
      </c>
      <c r="L52">
        <v>18.77</v>
      </c>
      <c r="M52" t="s">
        <v>24</v>
      </c>
      <c r="N52" t="s">
        <v>727</v>
      </c>
      <c r="O52" t="s">
        <v>727</v>
      </c>
      <c r="P52" s="32">
        <v>45777</v>
      </c>
      <c r="Q52" t="s">
        <v>740</v>
      </c>
    </row>
    <row r="53" spans="1:17">
      <c r="A53" t="s">
        <v>370</v>
      </c>
      <c r="B53" s="32">
        <v>45765</v>
      </c>
      <c r="C53" t="s">
        <v>371</v>
      </c>
      <c r="D53" t="s">
        <v>110</v>
      </c>
      <c r="E53" t="s">
        <v>35</v>
      </c>
      <c r="F53" t="s">
        <v>17</v>
      </c>
      <c r="G53">
        <v>3</v>
      </c>
      <c r="H53">
        <v>115.3</v>
      </c>
      <c r="I53">
        <v>0.05</v>
      </c>
      <c r="J53">
        <v>328.6</v>
      </c>
      <c r="K53">
        <v>238.56</v>
      </c>
      <c r="L53">
        <v>90.04</v>
      </c>
      <c r="M53" t="s">
        <v>18</v>
      </c>
      <c r="N53" t="s">
        <v>727</v>
      </c>
      <c r="O53" t="s">
        <v>727</v>
      </c>
      <c r="P53" s="32">
        <v>45765</v>
      </c>
      <c r="Q53" t="s">
        <v>740</v>
      </c>
    </row>
    <row r="54" spans="1:17">
      <c r="A54" t="s">
        <v>113</v>
      </c>
      <c r="B54" s="32">
        <v>45758</v>
      </c>
      <c r="C54" t="s">
        <v>114</v>
      </c>
      <c r="D54" t="s">
        <v>110</v>
      </c>
      <c r="E54" t="s">
        <v>35</v>
      </c>
      <c r="F54" t="s">
        <v>30</v>
      </c>
      <c r="G54">
        <v>2</v>
      </c>
      <c r="H54">
        <v>155.99</v>
      </c>
      <c r="I54">
        <v>0</v>
      </c>
      <c r="J54">
        <v>311.98</v>
      </c>
      <c r="K54">
        <v>175.22</v>
      </c>
      <c r="L54">
        <v>136.76</v>
      </c>
      <c r="M54" t="s">
        <v>18</v>
      </c>
      <c r="N54" t="s">
        <v>727</v>
      </c>
      <c r="O54" t="s">
        <v>727</v>
      </c>
      <c r="P54" s="32">
        <v>45758</v>
      </c>
      <c r="Q54" t="s">
        <v>740</v>
      </c>
    </row>
    <row r="55" spans="1:17">
      <c r="A55" t="s">
        <v>604</v>
      </c>
      <c r="B55" s="32">
        <v>45876</v>
      </c>
      <c r="C55" t="s">
        <v>280</v>
      </c>
      <c r="D55" t="s">
        <v>110</v>
      </c>
      <c r="E55" t="s">
        <v>35</v>
      </c>
      <c r="F55" t="s">
        <v>23</v>
      </c>
      <c r="G55">
        <v>2</v>
      </c>
      <c r="H55">
        <v>27.49</v>
      </c>
      <c r="I55">
        <v>0.05</v>
      </c>
      <c r="J55">
        <v>52.23</v>
      </c>
      <c r="K55">
        <v>40.29</v>
      </c>
      <c r="L55">
        <v>11.94</v>
      </c>
      <c r="M55" t="s">
        <v>18</v>
      </c>
      <c r="N55" t="s">
        <v>727</v>
      </c>
      <c r="O55" t="s">
        <v>727</v>
      </c>
      <c r="P55" s="32">
        <v>45876</v>
      </c>
      <c r="Q55" t="s">
        <v>744</v>
      </c>
    </row>
    <row r="56" spans="1:17">
      <c r="A56" t="s">
        <v>506</v>
      </c>
      <c r="B56" s="32">
        <v>45824</v>
      </c>
      <c r="C56" t="s">
        <v>172</v>
      </c>
      <c r="D56" t="s">
        <v>34</v>
      </c>
      <c r="E56" t="s">
        <v>35</v>
      </c>
      <c r="F56" t="s">
        <v>23</v>
      </c>
      <c r="G56">
        <v>3</v>
      </c>
      <c r="H56">
        <v>108.14</v>
      </c>
      <c r="I56">
        <v>0.05</v>
      </c>
      <c r="J56">
        <v>308.2</v>
      </c>
      <c r="K56">
        <v>225.09</v>
      </c>
      <c r="L56">
        <v>83.11</v>
      </c>
      <c r="M56" t="s">
        <v>24</v>
      </c>
      <c r="N56" t="s">
        <v>727</v>
      </c>
      <c r="O56" t="s">
        <v>727</v>
      </c>
      <c r="P56" s="32">
        <v>45824</v>
      </c>
      <c r="Q56" t="s">
        <v>742</v>
      </c>
    </row>
    <row r="57" spans="1:17">
      <c r="A57" t="s">
        <v>310</v>
      </c>
      <c r="B57" s="32">
        <v>45715</v>
      </c>
      <c r="C57" t="s">
        <v>242</v>
      </c>
      <c r="D57" t="s">
        <v>34</v>
      </c>
      <c r="E57" t="s">
        <v>35</v>
      </c>
      <c r="F57" t="s">
        <v>36</v>
      </c>
      <c r="G57">
        <v>4</v>
      </c>
      <c r="H57">
        <v>76.39</v>
      </c>
      <c r="I57">
        <v>0</v>
      </c>
      <c r="J57">
        <v>305.56</v>
      </c>
      <c r="K57">
        <v>258.26</v>
      </c>
      <c r="L57">
        <v>47.3</v>
      </c>
      <c r="M57" t="s">
        <v>18</v>
      </c>
      <c r="N57" t="s">
        <v>727</v>
      </c>
      <c r="O57" t="s">
        <v>727</v>
      </c>
      <c r="P57" s="32">
        <v>45715</v>
      </c>
      <c r="Q57" t="s">
        <v>738</v>
      </c>
    </row>
    <row r="58" spans="1:17">
      <c r="A58" t="s">
        <v>230</v>
      </c>
      <c r="B58" s="32">
        <v>45682</v>
      </c>
      <c r="C58" t="s">
        <v>85</v>
      </c>
      <c r="D58" t="s">
        <v>70</v>
      </c>
      <c r="E58" t="s">
        <v>35</v>
      </c>
      <c r="F58" t="s">
        <v>17</v>
      </c>
      <c r="G58">
        <v>2</v>
      </c>
      <c r="H58">
        <v>146.09</v>
      </c>
      <c r="I58">
        <v>0</v>
      </c>
      <c r="J58">
        <v>292.18</v>
      </c>
      <c r="K58">
        <v>189.93</v>
      </c>
      <c r="L58">
        <v>102.25</v>
      </c>
      <c r="M58" t="s">
        <v>24</v>
      </c>
      <c r="N58" t="s">
        <v>727</v>
      </c>
      <c r="O58" t="s">
        <v>727</v>
      </c>
      <c r="P58" s="32">
        <v>45682</v>
      </c>
      <c r="Q58" t="s">
        <v>737</v>
      </c>
    </row>
    <row r="59" spans="1:17">
      <c r="A59" t="s">
        <v>627</v>
      </c>
      <c r="B59" s="32">
        <v>45663</v>
      </c>
      <c r="C59" t="s">
        <v>164</v>
      </c>
      <c r="D59" t="s">
        <v>110</v>
      </c>
      <c r="E59" t="s">
        <v>35</v>
      </c>
      <c r="F59" t="s">
        <v>17</v>
      </c>
      <c r="G59">
        <v>2</v>
      </c>
      <c r="H59">
        <v>169.87</v>
      </c>
      <c r="I59">
        <v>0.15</v>
      </c>
      <c r="J59">
        <v>288.77999999999997</v>
      </c>
      <c r="K59">
        <v>167.71</v>
      </c>
      <c r="L59">
        <v>121.07</v>
      </c>
      <c r="M59" t="s">
        <v>18</v>
      </c>
      <c r="N59" t="s">
        <v>727</v>
      </c>
      <c r="O59" t="s">
        <v>727</v>
      </c>
      <c r="P59" s="32">
        <v>45663</v>
      </c>
      <c r="Q59" t="s">
        <v>737</v>
      </c>
    </row>
    <row r="60" spans="1:17">
      <c r="A60" t="s">
        <v>599</v>
      </c>
      <c r="B60" s="32">
        <v>45662</v>
      </c>
      <c r="C60" t="s">
        <v>600</v>
      </c>
      <c r="D60" t="s">
        <v>48</v>
      </c>
      <c r="E60" t="s">
        <v>35</v>
      </c>
      <c r="F60" t="s">
        <v>23</v>
      </c>
      <c r="G60">
        <v>5</v>
      </c>
      <c r="H60">
        <v>60.77</v>
      </c>
      <c r="I60">
        <v>0.05</v>
      </c>
      <c r="J60">
        <v>288.66000000000003</v>
      </c>
      <c r="K60">
        <v>212.57</v>
      </c>
      <c r="L60">
        <v>76.09</v>
      </c>
      <c r="M60" t="s">
        <v>18</v>
      </c>
      <c r="N60" t="s">
        <v>727</v>
      </c>
      <c r="O60" t="s">
        <v>727</v>
      </c>
      <c r="P60" s="32">
        <v>45662</v>
      </c>
      <c r="Q60" t="s">
        <v>737</v>
      </c>
    </row>
    <row r="61" spans="1:17">
      <c r="A61" t="s">
        <v>406</v>
      </c>
      <c r="B61" s="32">
        <v>45965</v>
      </c>
      <c r="C61" t="s">
        <v>159</v>
      </c>
      <c r="D61" t="s">
        <v>48</v>
      </c>
      <c r="E61" t="s">
        <v>35</v>
      </c>
      <c r="F61" t="s">
        <v>36</v>
      </c>
      <c r="G61">
        <v>4</v>
      </c>
      <c r="H61">
        <v>71.88</v>
      </c>
      <c r="I61">
        <v>0</v>
      </c>
      <c r="J61">
        <v>287.52</v>
      </c>
      <c r="K61">
        <v>213.87</v>
      </c>
      <c r="L61">
        <v>73.650000000000006</v>
      </c>
      <c r="M61" t="s">
        <v>31</v>
      </c>
      <c r="N61" t="s">
        <v>727</v>
      </c>
      <c r="O61" t="s">
        <v>727</v>
      </c>
      <c r="P61" s="32">
        <v>45965</v>
      </c>
      <c r="Q61" t="s">
        <v>747</v>
      </c>
    </row>
    <row r="62" spans="1:17">
      <c r="A62" t="s">
        <v>181</v>
      </c>
      <c r="B62" s="32">
        <v>45783</v>
      </c>
      <c r="C62" t="s">
        <v>182</v>
      </c>
      <c r="D62" t="s">
        <v>48</v>
      </c>
      <c r="E62" t="s">
        <v>35</v>
      </c>
      <c r="F62" t="s">
        <v>23</v>
      </c>
      <c r="G62">
        <v>4</v>
      </c>
      <c r="H62">
        <v>86.97</v>
      </c>
      <c r="I62">
        <v>0.2</v>
      </c>
      <c r="J62">
        <v>278.3</v>
      </c>
      <c r="K62">
        <v>194.19</v>
      </c>
      <c r="L62">
        <v>84.11</v>
      </c>
      <c r="M62" t="s">
        <v>31</v>
      </c>
      <c r="N62" t="s">
        <v>727</v>
      </c>
      <c r="O62" t="s">
        <v>727</v>
      </c>
      <c r="P62" s="32">
        <v>45783</v>
      </c>
      <c r="Q62" t="s">
        <v>741</v>
      </c>
    </row>
    <row r="63" spans="1:17">
      <c r="A63" t="s">
        <v>32</v>
      </c>
      <c r="B63" s="32">
        <v>46003</v>
      </c>
      <c r="C63" t="s">
        <v>33</v>
      </c>
      <c r="D63" t="s">
        <v>34</v>
      </c>
      <c r="E63" t="s">
        <v>35</v>
      </c>
      <c r="F63" t="s">
        <v>36</v>
      </c>
      <c r="G63">
        <v>2</v>
      </c>
      <c r="H63">
        <v>171.21</v>
      </c>
      <c r="I63">
        <v>0.2</v>
      </c>
      <c r="J63">
        <v>273.94</v>
      </c>
      <c r="K63">
        <v>217.1</v>
      </c>
      <c r="L63">
        <v>56.84</v>
      </c>
      <c r="M63" t="s">
        <v>18</v>
      </c>
      <c r="N63" t="s">
        <v>727</v>
      </c>
      <c r="O63" t="s">
        <v>727</v>
      </c>
      <c r="P63" s="32">
        <v>46003</v>
      </c>
      <c r="Q63" t="s">
        <v>748</v>
      </c>
    </row>
    <row r="64" spans="1:17">
      <c r="A64" t="s">
        <v>447</v>
      </c>
      <c r="B64" s="32">
        <v>45678</v>
      </c>
      <c r="C64" t="s">
        <v>448</v>
      </c>
      <c r="D64" t="s">
        <v>70</v>
      </c>
      <c r="E64" t="s">
        <v>35</v>
      </c>
      <c r="F64" t="s">
        <v>30</v>
      </c>
      <c r="G64">
        <v>4</v>
      </c>
      <c r="H64">
        <v>13.78</v>
      </c>
      <c r="I64">
        <v>0</v>
      </c>
      <c r="J64">
        <v>55.12</v>
      </c>
      <c r="K64">
        <v>45.3</v>
      </c>
      <c r="L64">
        <v>9.82</v>
      </c>
      <c r="M64" t="s">
        <v>18</v>
      </c>
      <c r="N64" t="s">
        <v>727</v>
      </c>
      <c r="O64" t="s">
        <v>727</v>
      </c>
      <c r="P64" s="32">
        <v>45678</v>
      </c>
      <c r="Q64" t="s">
        <v>737</v>
      </c>
    </row>
    <row r="65" spans="1:17">
      <c r="A65" t="s">
        <v>424</v>
      </c>
      <c r="B65" s="32">
        <v>45745</v>
      </c>
      <c r="C65" t="s">
        <v>425</v>
      </c>
      <c r="D65" t="s">
        <v>110</v>
      </c>
      <c r="E65" t="s">
        <v>35</v>
      </c>
      <c r="F65" t="s">
        <v>30</v>
      </c>
      <c r="G65">
        <v>2</v>
      </c>
      <c r="H65">
        <v>30.66</v>
      </c>
      <c r="I65">
        <v>0.1</v>
      </c>
      <c r="J65">
        <v>55.19</v>
      </c>
      <c r="K65">
        <v>43.89</v>
      </c>
      <c r="L65">
        <v>11.3</v>
      </c>
      <c r="M65" t="s">
        <v>18</v>
      </c>
      <c r="N65" t="s">
        <v>727</v>
      </c>
      <c r="O65" t="s">
        <v>727</v>
      </c>
      <c r="P65" s="32">
        <v>45745</v>
      </c>
      <c r="Q65" t="s">
        <v>739</v>
      </c>
    </row>
    <row r="66" spans="1:17">
      <c r="A66" t="s">
        <v>197</v>
      </c>
      <c r="B66" s="32">
        <v>45768</v>
      </c>
      <c r="C66" t="s">
        <v>114</v>
      </c>
      <c r="D66" t="s">
        <v>48</v>
      </c>
      <c r="E66" t="s">
        <v>35</v>
      </c>
      <c r="F66" t="s">
        <v>23</v>
      </c>
      <c r="G66">
        <v>2</v>
      </c>
      <c r="H66">
        <v>143.74</v>
      </c>
      <c r="I66">
        <v>0.05</v>
      </c>
      <c r="J66">
        <v>273.11</v>
      </c>
      <c r="K66">
        <v>157.33000000000001</v>
      </c>
      <c r="L66">
        <v>115.78</v>
      </c>
      <c r="M66" t="s">
        <v>18</v>
      </c>
      <c r="N66" t="s">
        <v>727</v>
      </c>
      <c r="O66" t="s">
        <v>727</v>
      </c>
      <c r="P66" s="32">
        <v>45768</v>
      </c>
      <c r="Q66" t="s">
        <v>740</v>
      </c>
    </row>
    <row r="67" spans="1:17">
      <c r="A67" t="s">
        <v>596</v>
      </c>
      <c r="B67" s="32">
        <v>45804</v>
      </c>
      <c r="C67" t="s">
        <v>266</v>
      </c>
      <c r="D67" t="s">
        <v>70</v>
      </c>
      <c r="E67" t="s">
        <v>35</v>
      </c>
      <c r="F67" t="s">
        <v>17</v>
      </c>
      <c r="G67">
        <v>3</v>
      </c>
      <c r="H67">
        <v>90.95</v>
      </c>
      <c r="I67">
        <v>0</v>
      </c>
      <c r="J67">
        <v>272.85000000000002</v>
      </c>
      <c r="K67">
        <v>228.77</v>
      </c>
      <c r="L67">
        <v>44.08</v>
      </c>
      <c r="M67" t="s">
        <v>18</v>
      </c>
      <c r="N67" t="s">
        <v>727</v>
      </c>
      <c r="O67" t="s">
        <v>727</v>
      </c>
      <c r="P67" s="32">
        <v>45804</v>
      </c>
      <c r="Q67" t="s">
        <v>741</v>
      </c>
    </row>
    <row r="68" spans="1:17">
      <c r="A68" t="s">
        <v>451</v>
      </c>
      <c r="B68" s="32">
        <v>45984</v>
      </c>
      <c r="C68" t="s">
        <v>63</v>
      </c>
      <c r="D68" t="s">
        <v>70</v>
      </c>
      <c r="E68" t="s">
        <v>35</v>
      </c>
      <c r="F68" t="s">
        <v>17</v>
      </c>
      <c r="G68">
        <v>4</v>
      </c>
      <c r="H68">
        <v>68.12</v>
      </c>
      <c r="I68">
        <v>0</v>
      </c>
      <c r="J68">
        <v>272.48</v>
      </c>
      <c r="K68">
        <v>162.22999999999999</v>
      </c>
      <c r="L68">
        <v>110.25</v>
      </c>
      <c r="M68" t="s">
        <v>24</v>
      </c>
      <c r="N68" t="s">
        <v>727</v>
      </c>
      <c r="O68" t="s">
        <v>727</v>
      </c>
      <c r="P68" s="32">
        <v>45984</v>
      </c>
      <c r="Q68" t="s">
        <v>747</v>
      </c>
    </row>
    <row r="69" spans="1:17">
      <c r="A69" t="s">
        <v>626</v>
      </c>
      <c r="B69" s="32">
        <v>45693</v>
      </c>
      <c r="C69" t="s">
        <v>484</v>
      </c>
      <c r="D69" t="s">
        <v>34</v>
      </c>
      <c r="E69" t="s">
        <v>35</v>
      </c>
      <c r="F69" t="s">
        <v>36</v>
      </c>
      <c r="G69">
        <v>2</v>
      </c>
      <c r="H69">
        <v>150.51</v>
      </c>
      <c r="I69">
        <v>0.1</v>
      </c>
      <c r="J69">
        <v>270.92</v>
      </c>
      <c r="K69">
        <v>174.02</v>
      </c>
      <c r="L69">
        <v>96.9</v>
      </c>
      <c r="M69" t="s">
        <v>31</v>
      </c>
      <c r="N69" t="s">
        <v>727</v>
      </c>
      <c r="O69" t="s">
        <v>727</v>
      </c>
      <c r="P69" s="32">
        <v>45693</v>
      </c>
      <c r="Q69" t="s">
        <v>738</v>
      </c>
    </row>
    <row r="70" spans="1:17">
      <c r="A70" t="s">
        <v>584</v>
      </c>
      <c r="B70" s="32">
        <v>45975</v>
      </c>
      <c r="C70" t="s">
        <v>287</v>
      </c>
      <c r="D70" t="s">
        <v>34</v>
      </c>
      <c r="E70" t="s">
        <v>35</v>
      </c>
      <c r="F70" t="s">
        <v>30</v>
      </c>
      <c r="G70">
        <v>5</v>
      </c>
      <c r="H70">
        <v>56.59</v>
      </c>
      <c r="I70">
        <v>0.05</v>
      </c>
      <c r="J70">
        <v>268.8</v>
      </c>
      <c r="K70">
        <v>150.87</v>
      </c>
      <c r="L70">
        <v>117.93</v>
      </c>
      <c r="M70" t="s">
        <v>31</v>
      </c>
      <c r="N70" t="s">
        <v>727</v>
      </c>
      <c r="O70" t="s">
        <v>727</v>
      </c>
      <c r="P70" s="32">
        <v>45975</v>
      </c>
      <c r="Q70" t="s">
        <v>747</v>
      </c>
    </row>
    <row r="71" spans="1:17">
      <c r="A71" t="s">
        <v>466</v>
      </c>
      <c r="B71" s="32">
        <v>45884</v>
      </c>
      <c r="C71" t="s">
        <v>467</v>
      </c>
      <c r="D71" t="s">
        <v>70</v>
      </c>
      <c r="E71" t="s">
        <v>35</v>
      </c>
      <c r="F71" t="s">
        <v>23</v>
      </c>
      <c r="G71">
        <v>3</v>
      </c>
      <c r="H71">
        <v>98.71</v>
      </c>
      <c r="I71">
        <v>0.1</v>
      </c>
      <c r="J71">
        <v>266.52</v>
      </c>
      <c r="K71">
        <v>217.77</v>
      </c>
      <c r="L71">
        <v>48.75</v>
      </c>
      <c r="M71" t="s">
        <v>31</v>
      </c>
      <c r="N71" t="s">
        <v>727</v>
      </c>
      <c r="O71" t="s">
        <v>727</v>
      </c>
      <c r="P71" s="32">
        <v>45884</v>
      </c>
      <c r="Q71" t="s">
        <v>744</v>
      </c>
    </row>
    <row r="72" spans="1:17">
      <c r="A72" t="s">
        <v>343</v>
      </c>
      <c r="B72" s="32">
        <v>45822</v>
      </c>
      <c r="C72" t="s">
        <v>98</v>
      </c>
      <c r="D72" t="s">
        <v>70</v>
      </c>
      <c r="E72" t="s">
        <v>35</v>
      </c>
      <c r="F72" t="s">
        <v>30</v>
      </c>
      <c r="G72">
        <v>4</v>
      </c>
      <c r="H72">
        <v>73.25</v>
      </c>
      <c r="I72">
        <v>0.1</v>
      </c>
      <c r="J72">
        <v>263.7</v>
      </c>
      <c r="K72">
        <v>173.26</v>
      </c>
      <c r="L72">
        <v>90.44</v>
      </c>
      <c r="M72" t="s">
        <v>24</v>
      </c>
      <c r="N72" t="s">
        <v>727</v>
      </c>
      <c r="O72" t="s">
        <v>727</v>
      </c>
      <c r="P72" s="32">
        <v>45822</v>
      </c>
      <c r="Q72" t="s">
        <v>742</v>
      </c>
    </row>
    <row r="73" spans="1:17">
      <c r="A73" t="s">
        <v>252</v>
      </c>
      <c r="B73" s="32">
        <v>46016</v>
      </c>
      <c r="C73" t="s">
        <v>253</v>
      </c>
      <c r="D73" t="s">
        <v>110</v>
      </c>
      <c r="E73" t="s">
        <v>35</v>
      </c>
      <c r="F73" t="s">
        <v>17</v>
      </c>
      <c r="G73">
        <v>3</v>
      </c>
      <c r="H73">
        <v>96.14</v>
      </c>
      <c r="I73">
        <v>0.1</v>
      </c>
      <c r="J73">
        <v>259.58</v>
      </c>
      <c r="K73">
        <v>197.19</v>
      </c>
      <c r="L73">
        <v>62.39</v>
      </c>
      <c r="M73" t="s">
        <v>18</v>
      </c>
      <c r="N73" t="s">
        <v>727</v>
      </c>
      <c r="O73" t="s">
        <v>727</v>
      </c>
      <c r="P73" s="32">
        <v>46016</v>
      </c>
      <c r="Q73" t="s">
        <v>748</v>
      </c>
    </row>
    <row r="74" spans="1:17">
      <c r="A74" t="s">
        <v>93</v>
      </c>
      <c r="B74" s="32">
        <v>45833</v>
      </c>
      <c r="C74" t="s">
        <v>94</v>
      </c>
      <c r="D74" t="s">
        <v>48</v>
      </c>
      <c r="E74" t="s">
        <v>35</v>
      </c>
      <c r="F74" t="s">
        <v>36</v>
      </c>
      <c r="G74">
        <v>4</v>
      </c>
      <c r="H74">
        <v>71.03</v>
      </c>
      <c r="I74">
        <v>0.1</v>
      </c>
      <c r="J74">
        <v>255.71</v>
      </c>
      <c r="K74">
        <v>195.95</v>
      </c>
      <c r="L74">
        <v>59.76</v>
      </c>
      <c r="M74" t="s">
        <v>18</v>
      </c>
      <c r="N74" t="s">
        <v>727</v>
      </c>
      <c r="O74" t="s">
        <v>727</v>
      </c>
      <c r="P74" s="32">
        <v>45833</v>
      </c>
      <c r="Q74" t="s">
        <v>742</v>
      </c>
    </row>
    <row r="75" spans="1:17">
      <c r="A75" t="s">
        <v>219</v>
      </c>
      <c r="B75" s="32">
        <v>45743</v>
      </c>
      <c r="C75" t="s">
        <v>220</v>
      </c>
      <c r="D75" t="s">
        <v>110</v>
      </c>
      <c r="E75" t="s">
        <v>35</v>
      </c>
      <c r="F75" t="s">
        <v>36</v>
      </c>
      <c r="G75">
        <v>1</v>
      </c>
      <c r="H75">
        <v>61.62</v>
      </c>
      <c r="I75">
        <v>0</v>
      </c>
      <c r="J75">
        <v>61.62</v>
      </c>
      <c r="K75">
        <v>47.64</v>
      </c>
      <c r="L75">
        <v>13.98</v>
      </c>
      <c r="M75" t="s">
        <v>24</v>
      </c>
      <c r="N75" t="s">
        <v>727</v>
      </c>
      <c r="O75" t="s">
        <v>727</v>
      </c>
      <c r="P75" s="32">
        <v>45743</v>
      </c>
      <c r="Q75" t="s">
        <v>739</v>
      </c>
    </row>
    <row r="76" spans="1:17">
      <c r="A76" t="s">
        <v>465</v>
      </c>
      <c r="B76" s="32">
        <v>45904</v>
      </c>
      <c r="C76" t="s">
        <v>138</v>
      </c>
      <c r="D76" t="s">
        <v>70</v>
      </c>
      <c r="E76" t="s">
        <v>35</v>
      </c>
      <c r="F76" t="s">
        <v>17</v>
      </c>
      <c r="G76">
        <v>5</v>
      </c>
      <c r="H76">
        <v>63.56</v>
      </c>
      <c r="I76">
        <v>0.2</v>
      </c>
      <c r="J76">
        <v>254.24</v>
      </c>
      <c r="K76">
        <v>214.56</v>
      </c>
      <c r="L76">
        <v>39.68</v>
      </c>
      <c r="M76" t="s">
        <v>18</v>
      </c>
      <c r="N76" t="s">
        <v>727</v>
      </c>
      <c r="O76" t="s">
        <v>727</v>
      </c>
      <c r="P76" s="32">
        <v>45904</v>
      </c>
      <c r="Q76" t="s">
        <v>745</v>
      </c>
    </row>
    <row r="77" spans="1:17">
      <c r="A77" t="s">
        <v>188</v>
      </c>
      <c r="B77" s="32">
        <v>45871</v>
      </c>
      <c r="C77" t="s">
        <v>189</v>
      </c>
      <c r="D77" t="s">
        <v>110</v>
      </c>
      <c r="E77" t="s">
        <v>35</v>
      </c>
      <c r="F77" t="s">
        <v>36</v>
      </c>
      <c r="G77">
        <v>2</v>
      </c>
      <c r="H77">
        <v>126.75</v>
      </c>
      <c r="I77">
        <v>0</v>
      </c>
      <c r="J77">
        <v>253.5</v>
      </c>
      <c r="K77">
        <v>200.22</v>
      </c>
      <c r="L77">
        <v>53.28</v>
      </c>
      <c r="M77" t="s">
        <v>18</v>
      </c>
      <c r="N77" t="s">
        <v>727</v>
      </c>
      <c r="O77" t="s">
        <v>727</v>
      </c>
      <c r="P77" s="32">
        <v>45871</v>
      </c>
      <c r="Q77" t="s">
        <v>744</v>
      </c>
    </row>
    <row r="78" spans="1:17">
      <c r="A78" t="s">
        <v>108</v>
      </c>
      <c r="B78" s="32">
        <v>45970</v>
      </c>
      <c r="C78" t="s">
        <v>109</v>
      </c>
      <c r="D78" t="s">
        <v>110</v>
      </c>
      <c r="E78" t="s">
        <v>35</v>
      </c>
      <c r="F78" t="s">
        <v>30</v>
      </c>
      <c r="G78">
        <v>2</v>
      </c>
      <c r="H78">
        <v>147.34</v>
      </c>
      <c r="I78">
        <v>0.15</v>
      </c>
      <c r="J78">
        <v>250.48</v>
      </c>
      <c r="K78">
        <v>206.39</v>
      </c>
      <c r="L78">
        <v>44.09</v>
      </c>
      <c r="M78" t="s">
        <v>18</v>
      </c>
      <c r="N78" t="s">
        <v>727</v>
      </c>
      <c r="O78" t="s">
        <v>727</v>
      </c>
      <c r="P78" s="32">
        <v>45970</v>
      </c>
      <c r="Q78" t="s">
        <v>747</v>
      </c>
    </row>
    <row r="79" spans="1:17">
      <c r="A79" t="s">
        <v>470</v>
      </c>
      <c r="B79" s="32">
        <v>45982</v>
      </c>
      <c r="C79" t="s">
        <v>385</v>
      </c>
      <c r="D79" t="s">
        <v>34</v>
      </c>
      <c r="E79" t="s">
        <v>35</v>
      </c>
      <c r="F79" t="s">
        <v>17</v>
      </c>
      <c r="G79">
        <v>2</v>
      </c>
      <c r="H79">
        <v>136.80000000000001</v>
      </c>
      <c r="I79">
        <v>0.1</v>
      </c>
      <c r="J79">
        <v>246.24</v>
      </c>
      <c r="K79">
        <v>181.3</v>
      </c>
      <c r="L79">
        <v>64.94</v>
      </c>
      <c r="M79" t="s">
        <v>18</v>
      </c>
      <c r="N79" t="s">
        <v>727</v>
      </c>
      <c r="O79" t="s">
        <v>727</v>
      </c>
      <c r="P79" s="32">
        <v>45982</v>
      </c>
      <c r="Q79" t="s">
        <v>747</v>
      </c>
    </row>
    <row r="80" spans="1:17">
      <c r="A80" t="s">
        <v>438</v>
      </c>
      <c r="B80" s="32">
        <v>45775</v>
      </c>
      <c r="C80" t="s">
        <v>273</v>
      </c>
      <c r="D80" t="s">
        <v>110</v>
      </c>
      <c r="E80" t="s">
        <v>35</v>
      </c>
      <c r="F80" t="s">
        <v>30</v>
      </c>
      <c r="G80">
        <v>4</v>
      </c>
      <c r="H80">
        <v>18.760000000000002</v>
      </c>
      <c r="I80">
        <v>0.15</v>
      </c>
      <c r="J80">
        <v>63.78</v>
      </c>
      <c r="K80">
        <v>49.75</v>
      </c>
      <c r="L80">
        <v>14.03</v>
      </c>
      <c r="M80" t="s">
        <v>18</v>
      </c>
      <c r="N80" t="s">
        <v>727</v>
      </c>
      <c r="O80" t="s">
        <v>727</v>
      </c>
      <c r="P80" s="32">
        <v>45775</v>
      </c>
      <c r="Q80" t="s">
        <v>740</v>
      </c>
    </row>
    <row r="81" spans="1:17">
      <c r="A81" t="s">
        <v>512</v>
      </c>
      <c r="B81" s="32">
        <v>45781</v>
      </c>
      <c r="C81" t="s">
        <v>55</v>
      </c>
      <c r="D81" t="s">
        <v>34</v>
      </c>
      <c r="E81" t="s">
        <v>35</v>
      </c>
      <c r="F81" t="s">
        <v>17</v>
      </c>
      <c r="G81">
        <v>5</v>
      </c>
      <c r="H81">
        <v>57.75</v>
      </c>
      <c r="I81">
        <v>0.15</v>
      </c>
      <c r="J81">
        <v>245.44</v>
      </c>
      <c r="K81">
        <v>143.54</v>
      </c>
      <c r="L81">
        <v>101.9</v>
      </c>
      <c r="M81" t="s">
        <v>18</v>
      </c>
      <c r="N81" t="s">
        <v>727</v>
      </c>
      <c r="O81" t="s">
        <v>727</v>
      </c>
      <c r="P81" s="32">
        <v>45781</v>
      </c>
      <c r="Q81" t="s">
        <v>741</v>
      </c>
    </row>
    <row r="82" spans="1:17">
      <c r="A82" t="s">
        <v>434</v>
      </c>
      <c r="B82" s="32">
        <v>45677</v>
      </c>
      <c r="C82" t="s">
        <v>303</v>
      </c>
      <c r="D82" t="s">
        <v>110</v>
      </c>
      <c r="E82" t="s">
        <v>35</v>
      </c>
      <c r="F82" t="s">
        <v>17</v>
      </c>
      <c r="G82">
        <v>5</v>
      </c>
      <c r="H82">
        <v>13</v>
      </c>
      <c r="I82">
        <v>0</v>
      </c>
      <c r="J82">
        <v>65</v>
      </c>
      <c r="K82">
        <v>39.29</v>
      </c>
      <c r="L82">
        <v>25.71</v>
      </c>
      <c r="M82" t="s">
        <v>31</v>
      </c>
      <c r="N82" t="s">
        <v>727</v>
      </c>
      <c r="O82" t="s">
        <v>727</v>
      </c>
      <c r="P82" s="32">
        <v>45677</v>
      </c>
      <c r="Q82" t="s">
        <v>737</v>
      </c>
    </row>
    <row r="83" spans="1:17">
      <c r="A83" t="s">
        <v>263</v>
      </c>
      <c r="B83" s="32">
        <v>45682</v>
      </c>
      <c r="C83" t="s">
        <v>150</v>
      </c>
      <c r="D83" t="s">
        <v>70</v>
      </c>
      <c r="E83" t="s">
        <v>35</v>
      </c>
      <c r="F83" t="s">
        <v>17</v>
      </c>
      <c r="G83">
        <v>1</v>
      </c>
      <c r="H83">
        <v>68.459999999999994</v>
      </c>
      <c r="I83">
        <v>0.05</v>
      </c>
      <c r="J83">
        <v>65.040000000000006</v>
      </c>
      <c r="K83">
        <v>49.53</v>
      </c>
      <c r="L83">
        <v>15.51</v>
      </c>
      <c r="M83" t="s">
        <v>18</v>
      </c>
      <c r="N83" t="s">
        <v>727</v>
      </c>
      <c r="O83" t="s">
        <v>727</v>
      </c>
      <c r="P83" s="32">
        <v>45682</v>
      </c>
      <c r="Q83" t="s">
        <v>737</v>
      </c>
    </row>
    <row r="84" spans="1:17">
      <c r="A84" t="s">
        <v>175</v>
      </c>
      <c r="B84" s="32">
        <v>45998</v>
      </c>
      <c r="C84" t="s">
        <v>176</v>
      </c>
      <c r="D84" t="s">
        <v>110</v>
      </c>
      <c r="E84" t="s">
        <v>35</v>
      </c>
      <c r="F84" t="s">
        <v>36</v>
      </c>
      <c r="G84">
        <v>3</v>
      </c>
      <c r="H84">
        <v>77.400000000000006</v>
      </c>
      <c r="I84">
        <v>0</v>
      </c>
      <c r="J84">
        <v>232.2</v>
      </c>
      <c r="K84">
        <v>129.72</v>
      </c>
      <c r="L84">
        <v>102.48</v>
      </c>
      <c r="M84" t="s">
        <v>31</v>
      </c>
      <c r="N84" t="s">
        <v>727</v>
      </c>
      <c r="O84" t="s">
        <v>727</v>
      </c>
      <c r="P84" s="32">
        <v>45998</v>
      </c>
      <c r="Q84" t="s">
        <v>748</v>
      </c>
    </row>
    <row r="85" spans="1:17">
      <c r="A85" t="s">
        <v>184</v>
      </c>
      <c r="B85" s="32">
        <v>45934</v>
      </c>
      <c r="C85" t="s">
        <v>185</v>
      </c>
      <c r="D85" t="s">
        <v>34</v>
      </c>
      <c r="E85" t="s">
        <v>35</v>
      </c>
      <c r="F85" t="s">
        <v>36</v>
      </c>
      <c r="G85">
        <v>3</v>
      </c>
      <c r="H85">
        <v>96.62</v>
      </c>
      <c r="I85">
        <v>0.2</v>
      </c>
      <c r="J85">
        <v>231.89</v>
      </c>
      <c r="K85">
        <v>169.41</v>
      </c>
      <c r="L85">
        <v>62.48</v>
      </c>
      <c r="M85" t="s">
        <v>18</v>
      </c>
      <c r="N85" t="s">
        <v>727</v>
      </c>
      <c r="O85" t="s">
        <v>727</v>
      </c>
      <c r="P85" s="32">
        <v>45934</v>
      </c>
      <c r="Q85" t="s">
        <v>746</v>
      </c>
    </row>
    <row r="86" spans="1:17">
      <c r="A86" t="s">
        <v>591</v>
      </c>
      <c r="B86" s="32">
        <v>45824</v>
      </c>
      <c r="C86" t="s">
        <v>347</v>
      </c>
      <c r="D86" t="s">
        <v>34</v>
      </c>
      <c r="E86" t="s">
        <v>35</v>
      </c>
      <c r="F86" t="s">
        <v>30</v>
      </c>
      <c r="G86">
        <v>2</v>
      </c>
      <c r="H86">
        <v>127.92</v>
      </c>
      <c r="I86">
        <v>0.1</v>
      </c>
      <c r="J86">
        <v>230.26</v>
      </c>
      <c r="K86">
        <v>158.54</v>
      </c>
      <c r="L86">
        <v>71.72</v>
      </c>
      <c r="M86" t="s">
        <v>18</v>
      </c>
      <c r="N86" t="s">
        <v>727</v>
      </c>
      <c r="O86" t="s">
        <v>727</v>
      </c>
      <c r="P86" s="32">
        <v>45824</v>
      </c>
      <c r="Q86" t="s">
        <v>742</v>
      </c>
    </row>
    <row r="87" spans="1:17">
      <c r="A87" t="s">
        <v>697</v>
      </c>
      <c r="B87" s="32">
        <v>45759</v>
      </c>
      <c r="C87" t="s">
        <v>698</v>
      </c>
      <c r="D87" t="s">
        <v>70</v>
      </c>
      <c r="E87" t="s">
        <v>35</v>
      </c>
      <c r="F87" t="s">
        <v>30</v>
      </c>
      <c r="G87">
        <v>2</v>
      </c>
      <c r="H87">
        <v>124.51</v>
      </c>
      <c r="I87">
        <v>0.1</v>
      </c>
      <c r="J87">
        <v>224.12</v>
      </c>
      <c r="K87">
        <v>185.74</v>
      </c>
      <c r="L87">
        <v>38.380000000000003</v>
      </c>
      <c r="M87" t="s">
        <v>18</v>
      </c>
      <c r="N87" t="s">
        <v>727</v>
      </c>
      <c r="O87" t="s">
        <v>727</v>
      </c>
      <c r="P87" s="32">
        <v>45759</v>
      </c>
      <c r="Q87" t="s">
        <v>740</v>
      </c>
    </row>
    <row r="88" spans="1:17">
      <c r="A88" t="s">
        <v>452</v>
      </c>
      <c r="B88" s="32">
        <v>45674</v>
      </c>
      <c r="C88" t="s">
        <v>355</v>
      </c>
      <c r="D88" t="s">
        <v>70</v>
      </c>
      <c r="E88" t="s">
        <v>35</v>
      </c>
      <c r="F88" t="s">
        <v>36</v>
      </c>
      <c r="G88">
        <v>5</v>
      </c>
      <c r="H88">
        <v>47.11</v>
      </c>
      <c r="I88">
        <v>0.05</v>
      </c>
      <c r="J88">
        <v>223.77</v>
      </c>
      <c r="K88">
        <v>159.5</v>
      </c>
      <c r="L88">
        <v>64.27</v>
      </c>
      <c r="M88" t="s">
        <v>18</v>
      </c>
      <c r="N88" t="s">
        <v>727</v>
      </c>
      <c r="O88" t="s">
        <v>727</v>
      </c>
      <c r="P88" s="32">
        <v>45674</v>
      </c>
      <c r="Q88" t="s">
        <v>737</v>
      </c>
    </row>
    <row r="89" spans="1:17">
      <c r="A89" t="s">
        <v>301</v>
      </c>
      <c r="B89" s="32">
        <v>45731</v>
      </c>
      <c r="C89" t="s">
        <v>112</v>
      </c>
      <c r="D89" t="s">
        <v>70</v>
      </c>
      <c r="E89" t="s">
        <v>35</v>
      </c>
      <c r="F89" t="s">
        <v>23</v>
      </c>
      <c r="G89">
        <v>2</v>
      </c>
      <c r="H89">
        <v>117.05</v>
      </c>
      <c r="I89">
        <v>0.05</v>
      </c>
      <c r="J89">
        <v>222.4</v>
      </c>
      <c r="K89">
        <v>174.35</v>
      </c>
      <c r="L89">
        <v>48.05</v>
      </c>
      <c r="M89" t="s">
        <v>18</v>
      </c>
      <c r="N89" t="s">
        <v>727</v>
      </c>
      <c r="O89" t="s">
        <v>727</v>
      </c>
      <c r="P89" s="32">
        <v>45731</v>
      </c>
      <c r="Q89" t="s">
        <v>739</v>
      </c>
    </row>
    <row r="90" spans="1:17">
      <c r="A90" t="s">
        <v>679</v>
      </c>
      <c r="B90" s="32">
        <v>45994</v>
      </c>
      <c r="C90" t="s">
        <v>397</v>
      </c>
      <c r="D90" t="s">
        <v>70</v>
      </c>
      <c r="E90" t="s">
        <v>35</v>
      </c>
      <c r="F90" t="s">
        <v>30</v>
      </c>
      <c r="G90">
        <v>2</v>
      </c>
      <c r="H90">
        <v>122.76</v>
      </c>
      <c r="I90">
        <v>0.1</v>
      </c>
      <c r="J90">
        <v>220.97</v>
      </c>
      <c r="K90">
        <v>178.69</v>
      </c>
      <c r="L90">
        <v>42.28</v>
      </c>
      <c r="M90" t="s">
        <v>31</v>
      </c>
      <c r="N90" t="s">
        <v>727</v>
      </c>
      <c r="O90" t="s">
        <v>727</v>
      </c>
      <c r="P90" s="32">
        <v>45994</v>
      </c>
      <c r="Q90" t="s">
        <v>748</v>
      </c>
    </row>
    <row r="91" spans="1:17">
      <c r="A91" t="s">
        <v>198</v>
      </c>
      <c r="B91" s="32">
        <v>45972</v>
      </c>
      <c r="C91" t="s">
        <v>164</v>
      </c>
      <c r="D91" t="s">
        <v>48</v>
      </c>
      <c r="E91" t="s">
        <v>35</v>
      </c>
      <c r="F91" t="s">
        <v>36</v>
      </c>
      <c r="G91">
        <v>3</v>
      </c>
      <c r="H91">
        <v>73.150000000000006</v>
      </c>
      <c r="I91">
        <v>0</v>
      </c>
      <c r="J91">
        <v>219.45</v>
      </c>
      <c r="K91">
        <v>179.93</v>
      </c>
      <c r="L91">
        <v>39.520000000000003</v>
      </c>
      <c r="M91" t="s">
        <v>18</v>
      </c>
      <c r="N91" t="s">
        <v>727</v>
      </c>
      <c r="O91" t="s">
        <v>727</v>
      </c>
      <c r="P91" s="32">
        <v>45972</v>
      </c>
      <c r="Q91" t="s">
        <v>747</v>
      </c>
    </row>
    <row r="92" spans="1:17">
      <c r="A92" t="s">
        <v>505</v>
      </c>
      <c r="B92" s="32">
        <v>45813</v>
      </c>
      <c r="C92" t="s">
        <v>379</v>
      </c>
      <c r="D92" t="s">
        <v>70</v>
      </c>
      <c r="E92" t="s">
        <v>35</v>
      </c>
      <c r="F92" t="s">
        <v>17</v>
      </c>
      <c r="G92">
        <v>2</v>
      </c>
      <c r="H92">
        <v>109.53</v>
      </c>
      <c r="I92">
        <v>0</v>
      </c>
      <c r="J92">
        <v>219.06</v>
      </c>
      <c r="K92">
        <v>145.72999999999999</v>
      </c>
      <c r="L92">
        <v>73.33</v>
      </c>
      <c r="M92" t="s">
        <v>18</v>
      </c>
      <c r="N92" t="s">
        <v>727</v>
      </c>
      <c r="O92" t="s">
        <v>727</v>
      </c>
      <c r="P92" s="32">
        <v>45813</v>
      </c>
      <c r="Q92" t="s">
        <v>742</v>
      </c>
    </row>
    <row r="93" spans="1:17">
      <c r="A93" t="s">
        <v>562</v>
      </c>
      <c r="B93" s="32">
        <v>45905</v>
      </c>
      <c r="C93" t="s">
        <v>174</v>
      </c>
      <c r="D93" t="s">
        <v>110</v>
      </c>
      <c r="E93" t="s">
        <v>35</v>
      </c>
      <c r="F93" t="s">
        <v>30</v>
      </c>
      <c r="G93">
        <v>2</v>
      </c>
      <c r="H93">
        <v>126.7</v>
      </c>
      <c r="I93">
        <v>0.15</v>
      </c>
      <c r="J93">
        <v>215.39</v>
      </c>
      <c r="K93">
        <v>150.6</v>
      </c>
      <c r="L93">
        <v>64.790000000000006</v>
      </c>
      <c r="M93" t="s">
        <v>18</v>
      </c>
      <c r="N93" t="s">
        <v>727</v>
      </c>
      <c r="O93" t="s">
        <v>727</v>
      </c>
      <c r="P93" s="32">
        <v>45905</v>
      </c>
      <c r="Q93" t="s">
        <v>745</v>
      </c>
    </row>
    <row r="94" spans="1:17">
      <c r="A94" t="s">
        <v>365</v>
      </c>
      <c r="B94" s="32">
        <v>45955</v>
      </c>
      <c r="C94" t="s">
        <v>109</v>
      </c>
      <c r="D94" t="s">
        <v>110</v>
      </c>
      <c r="E94" t="s">
        <v>35</v>
      </c>
      <c r="F94" t="s">
        <v>23</v>
      </c>
      <c r="G94">
        <v>3</v>
      </c>
      <c r="H94">
        <v>29.19</v>
      </c>
      <c r="I94">
        <v>0.15</v>
      </c>
      <c r="J94">
        <v>74.430000000000007</v>
      </c>
      <c r="K94">
        <v>58.79</v>
      </c>
      <c r="L94">
        <v>15.64</v>
      </c>
      <c r="M94" t="s">
        <v>18</v>
      </c>
      <c r="N94" t="s">
        <v>727</v>
      </c>
      <c r="O94" t="s">
        <v>727</v>
      </c>
      <c r="P94" s="32">
        <v>45955</v>
      </c>
      <c r="Q94" t="s">
        <v>746</v>
      </c>
    </row>
    <row r="95" spans="1:17">
      <c r="A95" t="s">
        <v>671</v>
      </c>
      <c r="B95" s="32">
        <v>45888</v>
      </c>
      <c r="C95" t="s">
        <v>33</v>
      </c>
      <c r="D95" t="s">
        <v>34</v>
      </c>
      <c r="E95" t="s">
        <v>35</v>
      </c>
      <c r="F95" t="s">
        <v>17</v>
      </c>
      <c r="G95">
        <v>1</v>
      </c>
      <c r="H95">
        <v>87.98</v>
      </c>
      <c r="I95">
        <v>0.15</v>
      </c>
      <c r="J95">
        <v>74.78</v>
      </c>
      <c r="K95">
        <v>42.53</v>
      </c>
      <c r="L95">
        <v>32.25</v>
      </c>
      <c r="M95" t="s">
        <v>24</v>
      </c>
      <c r="N95" t="s">
        <v>727</v>
      </c>
      <c r="O95" t="s">
        <v>727</v>
      </c>
      <c r="P95" s="32">
        <v>45888</v>
      </c>
      <c r="Q95" t="s">
        <v>744</v>
      </c>
    </row>
    <row r="96" spans="1:17">
      <c r="A96" t="s">
        <v>555</v>
      </c>
      <c r="B96" s="32">
        <v>45810</v>
      </c>
      <c r="C96" t="s">
        <v>92</v>
      </c>
      <c r="D96" t="s">
        <v>110</v>
      </c>
      <c r="E96" t="s">
        <v>35</v>
      </c>
      <c r="F96" t="s">
        <v>17</v>
      </c>
      <c r="G96">
        <v>3</v>
      </c>
      <c r="H96">
        <v>73.8</v>
      </c>
      <c r="I96">
        <v>0.05</v>
      </c>
      <c r="J96">
        <v>210.33</v>
      </c>
      <c r="K96">
        <v>127.15</v>
      </c>
      <c r="L96">
        <v>83.18</v>
      </c>
      <c r="M96" t="s">
        <v>31</v>
      </c>
      <c r="N96" t="s">
        <v>727</v>
      </c>
      <c r="O96" t="s">
        <v>727</v>
      </c>
      <c r="P96" s="32">
        <v>45810</v>
      </c>
      <c r="Q96" t="s">
        <v>742</v>
      </c>
    </row>
    <row r="97" spans="1:17">
      <c r="A97" t="s">
        <v>429</v>
      </c>
      <c r="B97" s="32">
        <v>45959</v>
      </c>
      <c r="C97" t="s">
        <v>218</v>
      </c>
      <c r="D97" t="s">
        <v>48</v>
      </c>
      <c r="E97" t="s">
        <v>35</v>
      </c>
      <c r="F97" t="s">
        <v>36</v>
      </c>
      <c r="G97">
        <v>3</v>
      </c>
      <c r="H97">
        <v>77.06</v>
      </c>
      <c r="I97">
        <v>0.15</v>
      </c>
      <c r="J97">
        <v>196.5</v>
      </c>
      <c r="K97">
        <v>120.1</v>
      </c>
      <c r="L97">
        <v>76.400000000000006</v>
      </c>
      <c r="M97" t="s">
        <v>18</v>
      </c>
      <c r="N97" t="s">
        <v>727</v>
      </c>
      <c r="O97" t="s">
        <v>727</v>
      </c>
      <c r="P97" s="32">
        <v>45959</v>
      </c>
      <c r="Q97" t="s">
        <v>746</v>
      </c>
    </row>
    <row r="98" spans="1:17">
      <c r="A98" t="s">
        <v>276</v>
      </c>
      <c r="B98" s="32">
        <v>45968</v>
      </c>
      <c r="C98" t="s">
        <v>26</v>
      </c>
      <c r="D98" t="s">
        <v>70</v>
      </c>
      <c r="E98" t="s">
        <v>35</v>
      </c>
      <c r="F98" t="s">
        <v>36</v>
      </c>
      <c r="G98">
        <v>2</v>
      </c>
      <c r="H98">
        <v>97.47</v>
      </c>
      <c r="I98">
        <v>0.05</v>
      </c>
      <c r="J98">
        <v>185.19</v>
      </c>
      <c r="K98">
        <v>150.56</v>
      </c>
      <c r="L98">
        <v>34.630000000000003</v>
      </c>
      <c r="M98" t="s">
        <v>18</v>
      </c>
      <c r="N98" t="s">
        <v>727</v>
      </c>
      <c r="O98" t="s">
        <v>727</v>
      </c>
      <c r="P98" s="32">
        <v>45968</v>
      </c>
      <c r="Q98" t="s">
        <v>747</v>
      </c>
    </row>
    <row r="99" spans="1:17">
      <c r="A99" t="s">
        <v>290</v>
      </c>
      <c r="B99" s="32">
        <v>45817</v>
      </c>
      <c r="C99" t="s">
        <v>196</v>
      </c>
      <c r="D99" t="s">
        <v>34</v>
      </c>
      <c r="E99" t="s">
        <v>35</v>
      </c>
      <c r="F99" t="s">
        <v>23</v>
      </c>
      <c r="G99">
        <v>2</v>
      </c>
      <c r="H99">
        <v>96.62</v>
      </c>
      <c r="I99">
        <v>0.05</v>
      </c>
      <c r="J99">
        <v>183.58</v>
      </c>
      <c r="K99">
        <v>155.84</v>
      </c>
      <c r="L99">
        <v>27.74</v>
      </c>
      <c r="M99" t="s">
        <v>18</v>
      </c>
      <c r="N99" t="s">
        <v>727</v>
      </c>
      <c r="O99" t="s">
        <v>727</v>
      </c>
      <c r="P99" s="32">
        <v>45817</v>
      </c>
      <c r="Q99" t="s">
        <v>742</v>
      </c>
    </row>
    <row r="100" spans="1:17">
      <c r="A100" t="s">
        <v>389</v>
      </c>
      <c r="B100" s="32">
        <v>45948</v>
      </c>
      <c r="C100" t="s">
        <v>390</v>
      </c>
      <c r="D100" t="s">
        <v>48</v>
      </c>
      <c r="E100" t="s">
        <v>35</v>
      </c>
      <c r="F100" t="s">
        <v>23</v>
      </c>
      <c r="G100">
        <v>2</v>
      </c>
      <c r="H100">
        <v>94.2</v>
      </c>
      <c r="I100">
        <v>0.05</v>
      </c>
      <c r="J100">
        <v>178.98</v>
      </c>
      <c r="K100">
        <v>127.42</v>
      </c>
      <c r="L100">
        <v>51.56</v>
      </c>
      <c r="M100" t="s">
        <v>31</v>
      </c>
      <c r="N100" t="s">
        <v>727</v>
      </c>
      <c r="O100" t="s">
        <v>727</v>
      </c>
      <c r="P100" s="32">
        <v>45948</v>
      </c>
      <c r="Q100" t="s">
        <v>746</v>
      </c>
    </row>
    <row r="101" spans="1:17">
      <c r="A101" t="s">
        <v>373</v>
      </c>
      <c r="B101" s="32">
        <v>45699</v>
      </c>
      <c r="C101" t="s">
        <v>157</v>
      </c>
      <c r="D101" t="s">
        <v>110</v>
      </c>
      <c r="E101" t="s">
        <v>35</v>
      </c>
      <c r="F101" t="s">
        <v>30</v>
      </c>
      <c r="G101">
        <v>1</v>
      </c>
      <c r="H101">
        <v>177.9</v>
      </c>
      <c r="I101">
        <v>0</v>
      </c>
      <c r="J101">
        <v>177.9</v>
      </c>
      <c r="K101">
        <v>134.94</v>
      </c>
      <c r="L101">
        <v>42.96</v>
      </c>
      <c r="M101" t="s">
        <v>18</v>
      </c>
      <c r="N101" t="s">
        <v>727</v>
      </c>
      <c r="O101" t="s">
        <v>727</v>
      </c>
      <c r="P101" s="32">
        <v>45699</v>
      </c>
      <c r="Q101" t="s">
        <v>738</v>
      </c>
    </row>
    <row r="102" spans="1:17">
      <c r="A102" t="s">
        <v>291</v>
      </c>
      <c r="B102" s="32">
        <v>45980</v>
      </c>
      <c r="C102" t="s">
        <v>50</v>
      </c>
      <c r="D102" t="s">
        <v>34</v>
      </c>
      <c r="E102" t="s">
        <v>35</v>
      </c>
      <c r="F102" t="s">
        <v>23</v>
      </c>
      <c r="G102">
        <v>1</v>
      </c>
      <c r="H102">
        <v>109.99</v>
      </c>
      <c r="I102">
        <v>0.1</v>
      </c>
      <c r="J102">
        <v>173.99</v>
      </c>
      <c r="K102">
        <v>57.16</v>
      </c>
      <c r="L102">
        <v>41.83</v>
      </c>
      <c r="M102" t="s">
        <v>18</v>
      </c>
      <c r="N102" t="s">
        <v>728</v>
      </c>
      <c r="O102" t="s">
        <v>728</v>
      </c>
      <c r="P102" s="32">
        <v>45980</v>
      </c>
      <c r="Q102" t="s">
        <v>747</v>
      </c>
    </row>
    <row r="103" spans="1:17">
      <c r="A103" t="s">
        <v>86</v>
      </c>
      <c r="B103" s="32">
        <v>45694</v>
      </c>
      <c r="C103" t="s">
        <v>76</v>
      </c>
      <c r="D103" t="s">
        <v>48</v>
      </c>
      <c r="E103" t="s">
        <v>35</v>
      </c>
      <c r="F103" t="s">
        <v>17</v>
      </c>
      <c r="G103">
        <v>4</v>
      </c>
      <c r="H103">
        <v>52.86</v>
      </c>
      <c r="I103">
        <v>0.2</v>
      </c>
      <c r="J103">
        <v>169.15</v>
      </c>
      <c r="K103">
        <v>142.02000000000001</v>
      </c>
      <c r="L103">
        <v>27.13</v>
      </c>
      <c r="M103" t="s">
        <v>31</v>
      </c>
      <c r="N103" t="s">
        <v>727</v>
      </c>
      <c r="O103" t="s">
        <v>727</v>
      </c>
      <c r="P103" s="32">
        <v>45694</v>
      </c>
      <c r="Q103" t="s">
        <v>738</v>
      </c>
    </row>
    <row r="104" spans="1:17">
      <c r="A104" t="s">
        <v>411</v>
      </c>
      <c r="B104" s="32">
        <v>45766</v>
      </c>
      <c r="C104" t="s">
        <v>232</v>
      </c>
      <c r="D104" t="s">
        <v>34</v>
      </c>
      <c r="E104" t="s">
        <v>35</v>
      </c>
      <c r="F104" t="s">
        <v>23</v>
      </c>
      <c r="G104">
        <v>5</v>
      </c>
      <c r="H104">
        <v>16.23</v>
      </c>
      <c r="I104">
        <v>0</v>
      </c>
      <c r="J104">
        <v>81.150000000000006</v>
      </c>
      <c r="K104">
        <v>62.8</v>
      </c>
      <c r="L104">
        <v>18.350000000000001</v>
      </c>
      <c r="M104" t="s">
        <v>18</v>
      </c>
      <c r="N104" t="s">
        <v>727</v>
      </c>
      <c r="O104" t="s">
        <v>727</v>
      </c>
      <c r="P104" s="32">
        <v>45766</v>
      </c>
      <c r="Q104" t="s">
        <v>740</v>
      </c>
    </row>
    <row r="105" spans="1:17">
      <c r="A105" t="s">
        <v>674</v>
      </c>
      <c r="B105" s="32">
        <v>45767</v>
      </c>
      <c r="C105" t="s">
        <v>377</v>
      </c>
      <c r="D105" t="s">
        <v>110</v>
      </c>
      <c r="E105" t="s">
        <v>35</v>
      </c>
      <c r="F105" t="s">
        <v>30</v>
      </c>
      <c r="G105">
        <v>1</v>
      </c>
      <c r="H105">
        <v>174.45</v>
      </c>
      <c r="I105">
        <v>0.05</v>
      </c>
      <c r="J105">
        <v>165.73</v>
      </c>
      <c r="K105">
        <v>104.99</v>
      </c>
      <c r="L105">
        <v>60.74</v>
      </c>
      <c r="M105" t="s">
        <v>18</v>
      </c>
      <c r="N105" t="s">
        <v>727</v>
      </c>
      <c r="O105" t="s">
        <v>727</v>
      </c>
      <c r="P105" s="32">
        <v>45767</v>
      </c>
      <c r="Q105" t="s">
        <v>740</v>
      </c>
    </row>
    <row r="106" spans="1:17">
      <c r="A106" t="s">
        <v>144</v>
      </c>
      <c r="B106" s="32">
        <v>45910</v>
      </c>
      <c r="C106" t="s">
        <v>145</v>
      </c>
      <c r="D106" t="s">
        <v>34</v>
      </c>
      <c r="E106" t="s">
        <v>35</v>
      </c>
      <c r="F106" t="s">
        <v>36</v>
      </c>
      <c r="G106">
        <v>3</v>
      </c>
      <c r="H106">
        <v>28.14</v>
      </c>
      <c r="I106">
        <v>0</v>
      </c>
      <c r="J106">
        <v>84.42</v>
      </c>
      <c r="K106">
        <v>65.72</v>
      </c>
      <c r="L106">
        <v>18.7</v>
      </c>
      <c r="M106" t="s">
        <v>24</v>
      </c>
      <c r="N106" t="s">
        <v>727</v>
      </c>
      <c r="O106" t="s">
        <v>727</v>
      </c>
      <c r="P106" s="32">
        <v>45910</v>
      </c>
      <c r="Q106" t="s">
        <v>745</v>
      </c>
    </row>
    <row r="107" spans="1:17">
      <c r="A107" t="s">
        <v>358</v>
      </c>
      <c r="B107" s="32">
        <v>45922</v>
      </c>
      <c r="C107" t="s">
        <v>359</v>
      </c>
      <c r="D107" t="s">
        <v>70</v>
      </c>
      <c r="E107" t="s">
        <v>35</v>
      </c>
      <c r="F107" t="s">
        <v>30</v>
      </c>
      <c r="G107">
        <v>1</v>
      </c>
      <c r="H107">
        <v>84.44</v>
      </c>
      <c r="I107">
        <v>0</v>
      </c>
      <c r="J107">
        <v>84.44</v>
      </c>
      <c r="K107">
        <v>61.31</v>
      </c>
      <c r="L107">
        <v>23.13</v>
      </c>
      <c r="M107" t="s">
        <v>18</v>
      </c>
      <c r="N107" t="s">
        <v>727</v>
      </c>
      <c r="O107" t="s">
        <v>727</v>
      </c>
      <c r="P107" s="32">
        <v>45922</v>
      </c>
      <c r="Q107" t="s">
        <v>745</v>
      </c>
    </row>
    <row r="108" spans="1:17">
      <c r="A108" t="s">
        <v>283</v>
      </c>
      <c r="B108" s="32">
        <v>45855</v>
      </c>
      <c r="C108" t="s">
        <v>150</v>
      </c>
      <c r="D108" t="s">
        <v>48</v>
      </c>
      <c r="E108" t="s">
        <v>35</v>
      </c>
      <c r="F108" t="s">
        <v>23</v>
      </c>
      <c r="G108">
        <v>4</v>
      </c>
      <c r="H108">
        <v>45.54</v>
      </c>
      <c r="I108">
        <v>0.15</v>
      </c>
      <c r="J108">
        <v>154.84</v>
      </c>
      <c r="K108">
        <v>121.69</v>
      </c>
      <c r="L108">
        <v>33.15</v>
      </c>
      <c r="M108" t="s">
        <v>18</v>
      </c>
      <c r="N108" t="s">
        <v>727</v>
      </c>
      <c r="O108" t="s">
        <v>727</v>
      </c>
      <c r="P108" s="32">
        <v>45855</v>
      </c>
      <c r="Q108" t="s">
        <v>743</v>
      </c>
    </row>
    <row r="109" spans="1:17">
      <c r="A109" t="s">
        <v>130</v>
      </c>
      <c r="B109" s="32">
        <v>45910</v>
      </c>
      <c r="C109" t="s">
        <v>131</v>
      </c>
      <c r="D109" t="s">
        <v>48</v>
      </c>
      <c r="E109" t="s">
        <v>35</v>
      </c>
      <c r="F109" t="s">
        <v>17</v>
      </c>
      <c r="G109">
        <v>2</v>
      </c>
      <c r="H109">
        <v>43.55</v>
      </c>
      <c r="I109">
        <v>0</v>
      </c>
      <c r="J109">
        <v>87.1</v>
      </c>
      <c r="K109">
        <v>53.51</v>
      </c>
      <c r="L109">
        <v>33.590000000000003</v>
      </c>
      <c r="M109" t="s">
        <v>18</v>
      </c>
      <c r="N109" t="s">
        <v>727</v>
      </c>
      <c r="O109" t="s">
        <v>727</v>
      </c>
      <c r="P109" s="32">
        <v>45910</v>
      </c>
      <c r="Q109" t="s">
        <v>745</v>
      </c>
    </row>
    <row r="110" spans="1:17">
      <c r="A110" t="s">
        <v>684</v>
      </c>
      <c r="B110" s="32">
        <v>45788</v>
      </c>
      <c r="C110" t="s">
        <v>685</v>
      </c>
      <c r="D110" t="s">
        <v>48</v>
      </c>
      <c r="E110" t="s">
        <v>35</v>
      </c>
      <c r="F110" t="s">
        <v>23</v>
      </c>
      <c r="G110">
        <v>3</v>
      </c>
      <c r="H110">
        <v>32.29</v>
      </c>
      <c r="I110">
        <v>0.1</v>
      </c>
      <c r="J110">
        <v>87.18</v>
      </c>
      <c r="K110">
        <v>52.79</v>
      </c>
      <c r="L110">
        <v>34.39</v>
      </c>
      <c r="M110" t="s">
        <v>18</v>
      </c>
      <c r="N110" t="s">
        <v>727</v>
      </c>
      <c r="O110" t="s">
        <v>727</v>
      </c>
      <c r="P110" s="32">
        <v>45788</v>
      </c>
      <c r="Q110" t="s">
        <v>741</v>
      </c>
    </row>
    <row r="111" spans="1:17">
      <c r="A111" t="s">
        <v>124</v>
      </c>
      <c r="B111" s="32">
        <v>45696</v>
      </c>
      <c r="C111" t="s">
        <v>125</v>
      </c>
      <c r="D111" t="s">
        <v>110</v>
      </c>
      <c r="E111" t="s">
        <v>35</v>
      </c>
      <c r="F111" t="s">
        <v>30</v>
      </c>
      <c r="G111">
        <v>4</v>
      </c>
      <c r="H111">
        <v>38.159999999999997</v>
      </c>
      <c r="I111">
        <v>0</v>
      </c>
      <c r="J111">
        <v>152.63999999999999</v>
      </c>
      <c r="K111">
        <v>118.91</v>
      </c>
      <c r="L111">
        <v>33.729999999999997</v>
      </c>
      <c r="M111" t="s">
        <v>31</v>
      </c>
      <c r="N111" t="s">
        <v>727</v>
      </c>
      <c r="O111" t="s">
        <v>727</v>
      </c>
      <c r="P111" s="32">
        <v>45696</v>
      </c>
      <c r="Q111" t="s">
        <v>738</v>
      </c>
    </row>
    <row r="112" spans="1:17">
      <c r="A112" t="s">
        <v>123</v>
      </c>
      <c r="B112" s="32">
        <v>45942</v>
      </c>
      <c r="C112" t="s">
        <v>122</v>
      </c>
      <c r="D112" t="s">
        <v>34</v>
      </c>
      <c r="E112" t="s">
        <v>35</v>
      </c>
      <c r="F112" t="s">
        <v>17</v>
      </c>
      <c r="G112">
        <v>3</v>
      </c>
      <c r="H112">
        <v>50.61</v>
      </c>
      <c r="I112">
        <v>0.05</v>
      </c>
      <c r="J112">
        <v>144.24</v>
      </c>
      <c r="K112">
        <v>112.13</v>
      </c>
      <c r="L112">
        <v>32.11</v>
      </c>
      <c r="M112" t="s">
        <v>18</v>
      </c>
      <c r="N112" t="s">
        <v>727</v>
      </c>
      <c r="O112" t="s">
        <v>727</v>
      </c>
      <c r="P112" s="32">
        <v>45942</v>
      </c>
      <c r="Q112" t="s">
        <v>746</v>
      </c>
    </row>
    <row r="113" spans="1:17">
      <c r="A113" t="s">
        <v>686</v>
      </c>
      <c r="B113" s="32">
        <v>45733</v>
      </c>
      <c r="C113" t="s">
        <v>280</v>
      </c>
      <c r="D113" t="s">
        <v>110</v>
      </c>
      <c r="E113" t="s">
        <v>35</v>
      </c>
      <c r="F113" t="s">
        <v>17</v>
      </c>
      <c r="G113">
        <v>1</v>
      </c>
      <c r="H113">
        <v>143.13</v>
      </c>
      <c r="I113">
        <v>0</v>
      </c>
      <c r="J113">
        <v>143.13</v>
      </c>
      <c r="K113">
        <v>119.04</v>
      </c>
      <c r="L113">
        <v>24.09</v>
      </c>
      <c r="M113" t="s">
        <v>18</v>
      </c>
      <c r="N113" t="s">
        <v>727</v>
      </c>
      <c r="O113" t="s">
        <v>727</v>
      </c>
      <c r="P113" s="32">
        <v>45733</v>
      </c>
      <c r="Q113" t="s">
        <v>739</v>
      </c>
    </row>
    <row r="114" spans="1:17">
      <c r="A114" t="s">
        <v>354</v>
      </c>
      <c r="B114" s="32">
        <v>45981</v>
      </c>
      <c r="C114" t="s">
        <v>355</v>
      </c>
      <c r="D114" t="s">
        <v>70</v>
      </c>
      <c r="E114" t="s">
        <v>35</v>
      </c>
      <c r="F114" t="s">
        <v>30</v>
      </c>
      <c r="G114">
        <v>1</v>
      </c>
      <c r="H114">
        <v>157.77000000000001</v>
      </c>
      <c r="I114">
        <v>0.1</v>
      </c>
      <c r="J114">
        <v>141.99</v>
      </c>
      <c r="K114">
        <v>102.25</v>
      </c>
      <c r="L114">
        <v>39.74</v>
      </c>
      <c r="M114" t="s">
        <v>18</v>
      </c>
      <c r="N114" t="s">
        <v>727</v>
      </c>
      <c r="O114" t="s">
        <v>727</v>
      </c>
      <c r="P114" s="32">
        <v>45981</v>
      </c>
      <c r="Q114" t="s">
        <v>747</v>
      </c>
    </row>
    <row r="115" spans="1:17">
      <c r="A115" t="s">
        <v>340</v>
      </c>
      <c r="B115" s="32">
        <v>45667</v>
      </c>
      <c r="C115" t="s">
        <v>157</v>
      </c>
      <c r="D115" t="s">
        <v>70</v>
      </c>
      <c r="E115" t="s">
        <v>35</v>
      </c>
      <c r="F115" t="s">
        <v>36</v>
      </c>
      <c r="G115">
        <v>1</v>
      </c>
      <c r="H115">
        <v>141.04</v>
      </c>
      <c r="I115">
        <v>0</v>
      </c>
      <c r="J115">
        <v>141.04</v>
      </c>
      <c r="K115">
        <v>118.61</v>
      </c>
      <c r="L115">
        <v>22.43</v>
      </c>
      <c r="M115" t="s">
        <v>18</v>
      </c>
      <c r="N115" t="s">
        <v>727</v>
      </c>
      <c r="O115" t="s">
        <v>727</v>
      </c>
      <c r="P115" s="32">
        <v>45667</v>
      </c>
      <c r="Q115" t="s">
        <v>737</v>
      </c>
    </row>
    <row r="116" spans="1:17">
      <c r="A116" t="s">
        <v>320</v>
      </c>
      <c r="B116" s="32">
        <v>45823</v>
      </c>
      <c r="C116" t="s">
        <v>321</v>
      </c>
      <c r="D116" t="s">
        <v>70</v>
      </c>
      <c r="E116" t="s">
        <v>35</v>
      </c>
      <c r="F116" t="s">
        <v>36</v>
      </c>
      <c r="G116">
        <v>5</v>
      </c>
      <c r="H116">
        <v>22.19</v>
      </c>
      <c r="I116">
        <v>0.15</v>
      </c>
      <c r="J116">
        <v>94.31</v>
      </c>
      <c r="K116">
        <v>61.99</v>
      </c>
      <c r="L116">
        <v>32.32</v>
      </c>
      <c r="M116" t="s">
        <v>18</v>
      </c>
      <c r="N116" t="s">
        <v>727</v>
      </c>
      <c r="O116" t="s">
        <v>727</v>
      </c>
      <c r="P116" s="32">
        <v>45823</v>
      </c>
      <c r="Q116" t="s">
        <v>742</v>
      </c>
    </row>
    <row r="117" spans="1:17">
      <c r="A117" t="s">
        <v>637</v>
      </c>
      <c r="B117" s="32">
        <v>45774</v>
      </c>
      <c r="C117" t="s">
        <v>76</v>
      </c>
      <c r="D117" t="s">
        <v>110</v>
      </c>
      <c r="E117" t="s">
        <v>35</v>
      </c>
      <c r="F117" t="s">
        <v>36</v>
      </c>
      <c r="G117">
        <v>1</v>
      </c>
      <c r="H117">
        <v>155.46</v>
      </c>
      <c r="I117">
        <v>0.1</v>
      </c>
      <c r="J117">
        <v>139.91</v>
      </c>
      <c r="K117">
        <v>94.08</v>
      </c>
      <c r="L117">
        <v>45.83</v>
      </c>
      <c r="M117" t="s">
        <v>31</v>
      </c>
      <c r="N117" t="s">
        <v>727</v>
      </c>
      <c r="O117" t="s">
        <v>727</v>
      </c>
      <c r="P117" s="32">
        <v>45774</v>
      </c>
      <c r="Q117" t="s">
        <v>740</v>
      </c>
    </row>
    <row r="118" spans="1:17">
      <c r="A118" t="s">
        <v>146</v>
      </c>
      <c r="B118" s="32">
        <v>45822</v>
      </c>
      <c r="C118" t="s">
        <v>147</v>
      </c>
      <c r="D118" t="s">
        <v>48</v>
      </c>
      <c r="E118" t="s">
        <v>35</v>
      </c>
      <c r="F118" t="s">
        <v>17</v>
      </c>
      <c r="G118">
        <v>2</v>
      </c>
      <c r="H118">
        <v>76.22</v>
      </c>
      <c r="I118">
        <v>0.15</v>
      </c>
      <c r="J118">
        <v>129.57</v>
      </c>
      <c r="K118">
        <v>76.959999999999994</v>
      </c>
      <c r="L118">
        <v>52.61</v>
      </c>
      <c r="M118" t="s">
        <v>31</v>
      </c>
      <c r="N118" t="s">
        <v>727</v>
      </c>
      <c r="O118" t="s">
        <v>727</v>
      </c>
      <c r="P118" s="32">
        <v>45822</v>
      </c>
      <c r="Q118" t="s">
        <v>742</v>
      </c>
    </row>
    <row r="119" spans="1:17">
      <c r="A119" t="s">
        <v>642</v>
      </c>
      <c r="B119" s="32">
        <v>45719</v>
      </c>
      <c r="C119" t="s">
        <v>60</v>
      </c>
      <c r="D119" t="s">
        <v>34</v>
      </c>
      <c r="E119" t="s">
        <v>35</v>
      </c>
      <c r="F119" t="s">
        <v>17</v>
      </c>
      <c r="G119">
        <v>2</v>
      </c>
      <c r="H119">
        <v>63.24</v>
      </c>
      <c r="I119">
        <v>0</v>
      </c>
      <c r="J119">
        <v>126.48</v>
      </c>
      <c r="K119">
        <v>82.86</v>
      </c>
      <c r="L119">
        <v>43.62</v>
      </c>
      <c r="M119" t="s">
        <v>18</v>
      </c>
      <c r="N119" t="s">
        <v>727</v>
      </c>
      <c r="O119" t="s">
        <v>727</v>
      </c>
      <c r="P119" s="32">
        <v>45719</v>
      </c>
      <c r="Q119" t="s">
        <v>739</v>
      </c>
    </row>
    <row r="120" spans="1:17">
      <c r="A120" t="s">
        <v>609</v>
      </c>
      <c r="B120" s="32">
        <v>45722</v>
      </c>
      <c r="C120" t="s">
        <v>170</v>
      </c>
      <c r="D120" t="s">
        <v>70</v>
      </c>
      <c r="E120" t="s">
        <v>35</v>
      </c>
      <c r="F120" t="s">
        <v>36</v>
      </c>
      <c r="G120">
        <v>1</v>
      </c>
      <c r="H120">
        <v>98.43</v>
      </c>
      <c r="I120">
        <v>0</v>
      </c>
      <c r="J120">
        <v>98.43</v>
      </c>
      <c r="K120">
        <v>54.2</v>
      </c>
      <c r="L120">
        <v>44.23</v>
      </c>
      <c r="M120" t="s">
        <v>24</v>
      </c>
      <c r="N120" t="s">
        <v>727</v>
      </c>
      <c r="O120" t="s">
        <v>727</v>
      </c>
      <c r="P120" s="32">
        <v>45722</v>
      </c>
      <c r="Q120" t="s">
        <v>739</v>
      </c>
    </row>
    <row r="121" spans="1:17">
      <c r="A121" t="s">
        <v>121</v>
      </c>
      <c r="B121" s="32">
        <v>45929</v>
      </c>
      <c r="C121" t="s">
        <v>122</v>
      </c>
      <c r="D121" t="s">
        <v>34</v>
      </c>
      <c r="E121" t="s">
        <v>35</v>
      </c>
      <c r="F121" t="s">
        <v>36</v>
      </c>
      <c r="G121">
        <v>2</v>
      </c>
      <c r="H121">
        <v>49.24</v>
      </c>
      <c r="I121">
        <v>0</v>
      </c>
      <c r="J121">
        <v>98.48</v>
      </c>
      <c r="K121">
        <v>59.57</v>
      </c>
      <c r="L121">
        <v>38.909999999999997</v>
      </c>
      <c r="M121" t="s">
        <v>31</v>
      </c>
      <c r="N121" t="s">
        <v>727</v>
      </c>
      <c r="O121" t="s">
        <v>727</v>
      </c>
      <c r="P121" s="32">
        <v>45929</v>
      </c>
      <c r="Q121" t="s">
        <v>745</v>
      </c>
    </row>
    <row r="122" spans="1:17">
      <c r="A122" t="s">
        <v>640</v>
      </c>
      <c r="B122" s="32">
        <v>45896</v>
      </c>
      <c r="C122" t="s">
        <v>38</v>
      </c>
      <c r="D122" t="s">
        <v>110</v>
      </c>
      <c r="E122" t="s">
        <v>35</v>
      </c>
      <c r="F122" t="s">
        <v>23</v>
      </c>
      <c r="G122">
        <v>1</v>
      </c>
      <c r="H122">
        <v>146.21</v>
      </c>
      <c r="I122">
        <v>0.15</v>
      </c>
      <c r="J122">
        <v>124.28</v>
      </c>
      <c r="K122">
        <v>75.94</v>
      </c>
      <c r="L122">
        <v>48.34</v>
      </c>
      <c r="M122" t="s">
        <v>24</v>
      </c>
      <c r="N122" t="s">
        <v>727</v>
      </c>
      <c r="O122" t="s">
        <v>727</v>
      </c>
      <c r="P122" s="32">
        <v>45896</v>
      </c>
      <c r="Q122" t="s">
        <v>744</v>
      </c>
    </row>
    <row r="123" spans="1:17">
      <c r="A123" t="s">
        <v>386</v>
      </c>
      <c r="B123" s="32">
        <v>45929</v>
      </c>
      <c r="C123" t="s">
        <v>224</v>
      </c>
      <c r="D123" t="s">
        <v>110</v>
      </c>
      <c r="E123" t="s">
        <v>35</v>
      </c>
      <c r="F123" t="s">
        <v>23</v>
      </c>
      <c r="G123">
        <v>5</v>
      </c>
      <c r="H123">
        <v>23.98</v>
      </c>
      <c r="I123">
        <v>0</v>
      </c>
      <c r="J123">
        <v>119.9</v>
      </c>
      <c r="K123">
        <v>94.29</v>
      </c>
      <c r="L123">
        <v>25.61</v>
      </c>
      <c r="M123" t="s">
        <v>18</v>
      </c>
      <c r="N123" t="s">
        <v>727</v>
      </c>
      <c r="O123" t="s">
        <v>727</v>
      </c>
      <c r="P123" s="32">
        <v>45929</v>
      </c>
      <c r="Q123" t="s">
        <v>745</v>
      </c>
    </row>
    <row r="124" spans="1:17">
      <c r="A124" t="s">
        <v>281</v>
      </c>
      <c r="B124" s="32">
        <v>45730</v>
      </c>
      <c r="C124" t="s">
        <v>282</v>
      </c>
      <c r="D124" t="s">
        <v>110</v>
      </c>
      <c r="E124" t="s">
        <v>35</v>
      </c>
      <c r="F124" t="s">
        <v>30</v>
      </c>
      <c r="G124">
        <v>2</v>
      </c>
      <c r="H124">
        <v>58.96</v>
      </c>
      <c r="I124">
        <v>0</v>
      </c>
      <c r="J124">
        <v>117.92</v>
      </c>
      <c r="K124">
        <v>66.349999999999994</v>
      </c>
      <c r="L124">
        <v>51.57</v>
      </c>
      <c r="M124" t="s">
        <v>18</v>
      </c>
      <c r="N124" t="s">
        <v>727</v>
      </c>
      <c r="O124" t="s">
        <v>727</v>
      </c>
      <c r="P124" s="32">
        <v>45730</v>
      </c>
      <c r="Q124" t="s">
        <v>739</v>
      </c>
    </row>
    <row r="125" spans="1:17">
      <c r="A125" t="s">
        <v>573</v>
      </c>
      <c r="B125" s="32">
        <v>45770</v>
      </c>
      <c r="C125" t="s">
        <v>321</v>
      </c>
      <c r="D125" t="s">
        <v>70</v>
      </c>
      <c r="E125" t="s">
        <v>35</v>
      </c>
      <c r="F125" t="s">
        <v>17</v>
      </c>
      <c r="G125">
        <v>1</v>
      </c>
      <c r="H125">
        <v>117.3</v>
      </c>
      <c r="I125">
        <v>0</v>
      </c>
      <c r="J125">
        <v>117.3</v>
      </c>
      <c r="K125">
        <v>65.66</v>
      </c>
      <c r="L125">
        <v>51.64</v>
      </c>
      <c r="M125" t="s">
        <v>18</v>
      </c>
      <c r="N125" t="s">
        <v>727</v>
      </c>
      <c r="O125" t="s">
        <v>727</v>
      </c>
      <c r="P125" s="32">
        <v>45770</v>
      </c>
      <c r="Q125" t="s">
        <v>740</v>
      </c>
    </row>
    <row r="126" spans="1:17">
      <c r="A126" t="s">
        <v>567</v>
      </c>
      <c r="B126" s="32">
        <v>45765</v>
      </c>
      <c r="C126" t="s">
        <v>94</v>
      </c>
      <c r="D126" t="s">
        <v>110</v>
      </c>
      <c r="E126" t="s">
        <v>35</v>
      </c>
      <c r="F126" t="s">
        <v>30</v>
      </c>
      <c r="G126">
        <v>3</v>
      </c>
      <c r="H126">
        <v>38.29</v>
      </c>
      <c r="I126">
        <v>0</v>
      </c>
      <c r="J126">
        <v>114.87</v>
      </c>
      <c r="K126">
        <v>63.63</v>
      </c>
      <c r="L126">
        <v>51.24</v>
      </c>
      <c r="M126" t="s">
        <v>24</v>
      </c>
      <c r="N126" t="s">
        <v>727</v>
      </c>
      <c r="O126" t="s">
        <v>727</v>
      </c>
      <c r="P126" s="32">
        <v>45765</v>
      </c>
      <c r="Q126" t="s">
        <v>740</v>
      </c>
    </row>
    <row r="127" spans="1:17">
      <c r="A127" t="s">
        <v>221</v>
      </c>
      <c r="B127" s="32">
        <v>46022</v>
      </c>
      <c r="C127" t="s">
        <v>191</v>
      </c>
      <c r="D127" t="s">
        <v>34</v>
      </c>
      <c r="E127" t="s">
        <v>35</v>
      </c>
      <c r="F127" t="s">
        <v>23</v>
      </c>
      <c r="G127">
        <v>2</v>
      </c>
      <c r="H127">
        <v>66.84</v>
      </c>
      <c r="I127">
        <v>0.15</v>
      </c>
      <c r="J127">
        <v>113.63</v>
      </c>
      <c r="K127">
        <v>66.27</v>
      </c>
      <c r="L127">
        <v>47.36</v>
      </c>
      <c r="M127" t="s">
        <v>24</v>
      </c>
      <c r="N127" t="s">
        <v>727</v>
      </c>
      <c r="O127" t="s">
        <v>727</v>
      </c>
      <c r="P127" s="32">
        <v>46022</v>
      </c>
      <c r="Q127" t="s">
        <v>748</v>
      </c>
    </row>
    <row r="128" spans="1:17">
      <c r="A128" t="s">
        <v>542</v>
      </c>
      <c r="B128" s="32">
        <v>45740</v>
      </c>
      <c r="C128" t="s">
        <v>280</v>
      </c>
      <c r="D128" t="s">
        <v>34</v>
      </c>
      <c r="E128" t="s">
        <v>35</v>
      </c>
      <c r="F128" t="s">
        <v>36</v>
      </c>
      <c r="G128">
        <v>2</v>
      </c>
      <c r="H128">
        <v>61.9</v>
      </c>
      <c r="I128">
        <v>0.1</v>
      </c>
      <c r="J128">
        <v>111.42</v>
      </c>
      <c r="K128">
        <v>91.09</v>
      </c>
      <c r="L128">
        <v>20.329999999999998</v>
      </c>
      <c r="M128" t="s">
        <v>31</v>
      </c>
      <c r="N128" t="s">
        <v>727</v>
      </c>
      <c r="O128" t="s">
        <v>727</v>
      </c>
      <c r="P128" s="32">
        <v>45740</v>
      </c>
      <c r="Q128" t="s">
        <v>739</v>
      </c>
    </row>
    <row r="129" spans="1:17">
      <c r="A129" t="s">
        <v>326</v>
      </c>
      <c r="B129" s="32">
        <v>45776</v>
      </c>
      <c r="C129" t="s">
        <v>33</v>
      </c>
      <c r="D129" t="s">
        <v>70</v>
      </c>
      <c r="E129" t="s">
        <v>35</v>
      </c>
      <c r="F129" t="s">
        <v>17</v>
      </c>
      <c r="G129">
        <v>3</v>
      </c>
      <c r="H129">
        <v>45.7</v>
      </c>
      <c r="I129">
        <v>0.2</v>
      </c>
      <c r="J129">
        <v>109.68</v>
      </c>
      <c r="K129">
        <v>71.41</v>
      </c>
      <c r="L129">
        <v>38.270000000000003</v>
      </c>
      <c r="M129" t="s">
        <v>31</v>
      </c>
      <c r="N129" t="s">
        <v>727</v>
      </c>
      <c r="O129" t="s">
        <v>727</v>
      </c>
      <c r="P129" s="32">
        <v>45776</v>
      </c>
      <c r="Q129" t="s">
        <v>740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0"/>
  <sheetViews>
    <sheetView tabSelected="1" workbookViewId="0">
      <selection activeCell="B19" sqref="B19:G20"/>
    </sheetView>
  </sheetViews>
  <sheetFormatPr defaultRowHeight="15"/>
  <cols>
    <col min="1" max="1" width="13.140625" customWidth="1"/>
    <col min="2" max="2" width="15.5703125" customWidth="1"/>
    <col min="3" max="3" width="17.28515625" customWidth="1"/>
    <col min="4" max="4" width="13.140625" customWidth="1"/>
    <col min="5" max="6" width="16.28515625" bestFit="1" customWidth="1"/>
    <col min="7" max="7" width="63.28515625" customWidth="1"/>
    <col min="8" max="283" width="16.28515625" bestFit="1" customWidth="1"/>
    <col min="284" max="284" width="11.28515625" bestFit="1" customWidth="1"/>
  </cols>
  <sheetData>
    <row r="3" spans="1:4">
      <c r="A3" s="31" t="s">
        <v>732</v>
      </c>
      <c r="B3" t="s">
        <v>733</v>
      </c>
      <c r="D3" t="s">
        <v>730</v>
      </c>
    </row>
    <row r="4" spans="1:4">
      <c r="A4" s="33" t="s">
        <v>737</v>
      </c>
      <c r="B4" s="7">
        <v>8292.4200000000019</v>
      </c>
      <c r="C4" s="51">
        <f>COUNTIFS(Cleaned_Data!$B:$B,"&gt;="&amp;DATEVALUE(A4&amp;"-01"),Cleaned_Data!$B:$B,"&lt;"&amp;EDATE(DATEVALUE(A4&amp;"-01"),1))</f>
        <v>37</v>
      </c>
      <c r="D4" s="40">
        <f>B4/C4</f>
        <v>224.11945945945951</v>
      </c>
    </row>
    <row r="5" spans="1:4">
      <c r="A5" s="33" t="s">
        <v>738</v>
      </c>
      <c r="B5" s="7">
        <v>13062.06</v>
      </c>
      <c r="C5" s="51">
        <f>COUNTIFS(Cleaned_Data!$B:$B,"&gt;="&amp;DATEVALUE(A5&amp;"-01"),Cleaned_Data!$B:$B,"&lt;"&amp;EDATE(DATEVALUE(A5&amp;"-01"),1))</f>
        <v>46</v>
      </c>
      <c r="D5" s="40">
        <f t="shared" ref="D5:D17" si="0">B5/C5</f>
        <v>283.95782608695652</v>
      </c>
    </row>
    <row r="6" spans="1:4">
      <c r="A6" s="33" t="s">
        <v>739</v>
      </c>
      <c r="B6" s="7">
        <v>11317.819999999998</v>
      </c>
      <c r="C6" s="51">
        <f>COUNTIFS(Cleaned_Data!$B:$B,"&gt;="&amp;DATEVALUE(A6&amp;"-01"),Cleaned_Data!$B:$B,"&lt;"&amp;EDATE(DATEVALUE(A6&amp;"-01"),1))</f>
        <v>42</v>
      </c>
      <c r="D6" s="40">
        <f t="shared" si="0"/>
        <v>269.47190476190474</v>
      </c>
    </row>
    <row r="7" spans="1:4">
      <c r="A7" s="33" t="s">
        <v>740</v>
      </c>
      <c r="B7" s="7">
        <v>14120.430000000004</v>
      </c>
      <c r="C7" s="51">
        <f>COUNTIFS(Cleaned_Data!$B:$B,"&gt;="&amp;DATEVALUE(A7&amp;"-01"),Cleaned_Data!$B:$B,"&lt;"&amp;EDATE(DATEVALUE(A7&amp;"-01"),1))</f>
        <v>54</v>
      </c>
      <c r="D7" s="40">
        <f t="shared" si="0"/>
        <v>261.48944444444453</v>
      </c>
    </row>
    <row r="8" spans="1:4">
      <c r="A8" s="33" t="s">
        <v>741</v>
      </c>
      <c r="B8" s="7">
        <v>7777.8899999999994</v>
      </c>
      <c r="C8" s="51">
        <f>COUNTIFS(Cleaned_Data!$B:$B,"&gt;="&amp;DATEVALUE(A8&amp;"-01"),Cleaned_Data!$B:$B,"&lt;"&amp;EDATE(DATEVALUE(A8&amp;"-01"),1))</f>
        <v>33</v>
      </c>
      <c r="D8" s="40">
        <f t="shared" si="0"/>
        <v>235.69363636363636</v>
      </c>
    </row>
    <row r="9" spans="1:4">
      <c r="A9" s="33" t="s">
        <v>742</v>
      </c>
      <c r="B9" s="7">
        <v>13413.809999999998</v>
      </c>
      <c r="C9" s="51">
        <f>COUNTIFS(Cleaned_Data!$B:$B,"&gt;="&amp;DATEVALUE(A9&amp;"-01"),Cleaned_Data!$B:$B,"&lt;"&amp;EDATE(DATEVALUE(A9&amp;"-01"),1))</f>
        <v>47</v>
      </c>
      <c r="D9" s="40">
        <f t="shared" si="0"/>
        <v>285.40021276595741</v>
      </c>
    </row>
    <row r="10" spans="1:4">
      <c r="A10" s="33" t="s">
        <v>743</v>
      </c>
      <c r="B10" s="7">
        <v>7243.97</v>
      </c>
      <c r="C10" s="51">
        <f>COUNTIFS(Cleaned_Data!$B:$B,"&gt;="&amp;DATEVALUE(A10&amp;"-01"),Cleaned_Data!$B:$B,"&lt;"&amp;EDATE(DATEVALUE(A10&amp;"-01"),1))</f>
        <v>25</v>
      </c>
      <c r="D10" s="40">
        <f t="shared" si="0"/>
        <v>289.75880000000001</v>
      </c>
    </row>
    <row r="11" spans="1:4">
      <c r="A11" s="33" t="s">
        <v>744</v>
      </c>
      <c r="B11" s="7">
        <v>10452.930000000002</v>
      </c>
      <c r="C11" s="51">
        <f>COUNTIFS(Cleaned_Data!$B:$B,"&gt;="&amp;DATEVALUE(A11&amp;"-01"),Cleaned_Data!$B:$B,"&lt;"&amp;EDATE(DATEVALUE(A11&amp;"-01"),1))</f>
        <v>43</v>
      </c>
      <c r="D11" s="40">
        <f t="shared" si="0"/>
        <v>243.09139534883727</v>
      </c>
    </row>
    <row r="12" spans="1:4">
      <c r="A12" s="33" t="s">
        <v>745</v>
      </c>
      <c r="B12" s="7">
        <v>10120.620000000001</v>
      </c>
      <c r="C12" s="51">
        <f>COUNTIFS(Cleaned_Data!$B:$B,"&gt;="&amp;DATEVALUE(A12&amp;"-01"),Cleaned_Data!$B:$B,"&lt;"&amp;EDATE(DATEVALUE(A12&amp;"-01"),1))</f>
        <v>39</v>
      </c>
      <c r="D12" s="40">
        <f t="shared" si="0"/>
        <v>259.50307692307695</v>
      </c>
    </row>
    <row r="13" spans="1:4">
      <c r="A13" s="33" t="s">
        <v>746</v>
      </c>
      <c r="B13" s="7">
        <v>10579.1</v>
      </c>
      <c r="C13" s="51">
        <f>COUNTIFS(Cleaned_Data!$B:$B,"&gt;="&amp;DATEVALUE(A13&amp;"-01"),Cleaned_Data!$B:$B,"&lt;"&amp;EDATE(DATEVALUE(A13&amp;"-01"),1))</f>
        <v>43</v>
      </c>
      <c r="D13" s="40">
        <f t="shared" si="0"/>
        <v>246.02558139534884</v>
      </c>
    </row>
    <row r="14" spans="1:4">
      <c r="A14" s="33" t="s">
        <v>747</v>
      </c>
      <c r="B14" s="7">
        <v>11858.72</v>
      </c>
      <c r="C14" s="51">
        <f>COUNTIFS(Cleaned_Data!$B:$B,"&gt;="&amp;DATEVALUE(A14&amp;"-01"),Cleaned_Data!$B:$B,"&lt;"&amp;EDATE(DATEVALUE(A14&amp;"-01"),1))</f>
        <v>45</v>
      </c>
      <c r="D14" s="40">
        <f t="shared" si="0"/>
        <v>263.52711111111108</v>
      </c>
    </row>
    <row r="15" spans="1:4">
      <c r="A15" s="33" t="s">
        <v>748</v>
      </c>
      <c r="B15" s="7">
        <v>11829.02</v>
      </c>
      <c r="C15" s="51">
        <f>COUNTIFS(Cleaned_Data!$B:$B,"&gt;="&amp;DATEVALUE(A15&amp;"-01"),Cleaned_Data!$B:$B,"&lt;"&amp;EDATE(DATEVALUE(A15&amp;"-01"),1))</f>
        <v>43</v>
      </c>
      <c r="D15" s="40">
        <f t="shared" si="0"/>
        <v>275.09348837209302</v>
      </c>
    </row>
    <row r="16" spans="1:4">
      <c r="A16" s="33" t="s">
        <v>731</v>
      </c>
      <c r="B16" s="7">
        <v>130068.79000000002</v>
      </c>
      <c r="C16">
        <f>SUM(C4:C15)</f>
        <v>497</v>
      </c>
      <c r="D16" s="54">
        <f>IFERROR(B16/C16,0)</f>
        <v>261.70782696177065</v>
      </c>
    </row>
    <row r="17" spans="1:7">
      <c r="D17" s="40"/>
    </row>
    <row r="18" spans="1:7">
      <c r="A18" s="55" t="s">
        <v>764</v>
      </c>
    </row>
    <row r="19" spans="1:7">
      <c r="A19" s="55"/>
      <c r="B19" s="56" t="s">
        <v>765</v>
      </c>
      <c r="C19" s="56"/>
      <c r="D19" s="56"/>
      <c r="E19" s="56"/>
      <c r="F19" s="56"/>
      <c r="G19" s="56"/>
    </row>
    <row r="20" spans="1:7">
      <c r="B20" s="56"/>
      <c r="C20" s="56"/>
      <c r="D20" s="56"/>
      <c r="E20" s="56"/>
      <c r="F20" s="56"/>
      <c r="G20" s="56"/>
    </row>
  </sheetData>
  <sortState columnSort="1" ref="A3:C17">
    <sortCondition descending="1" ref="B3"/>
  </sortState>
  <mergeCells count="2">
    <mergeCell ref="A18:A19"/>
    <mergeCell ref="B19:G20"/>
  </mergeCell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9"/>
  <sheetViews>
    <sheetView workbookViewId="0">
      <selection activeCell="N9" sqref="N9"/>
    </sheetView>
  </sheetViews>
  <sheetFormatPr defaultRowHeight="15"/>
  <cols>
    <col min="1" max="1" width="13.85546875" bestFit="1" customWidth="1"/>
    <col min="2" max="2" width="15.5703125" bestFit="1" customWidth="1"/>
    <col min="3" max="4" width="12.5703125" bestFit="1" customWidth="1"/>
  </cols>
  <sheetData>
    <row r="3" spans="1:5">
      <c r="A3" s="31" t="s">
        <v>732</v>
      </c>
      <c r="B3" t="s">
        <v>733</v>
      </c>
      <c r="E3" t="s">
        <v>750</v>
      </c>
    </row>
    <row r="4" spans="1:5">
      <c r="A4" s="33" t="s">
        <v>16</v>
      </c>
      <c r="B4" s="7">
        <v>33911.279999999984</v>
      </c>
      <c r="E4" s="41">
        <f>D4/B4</f>
        <v>0</v>
      </c>
    </row>
    <row r="5" spans="1:5">
      <c r="A5" s="33" t="s">
        <v>22</v>
      </c>
      <c r="B5" s="7">
        <v>33325.19</v>
      </c>
      <c r="E5" s="41">
        <f>D5/B5</f>
        <v>0</v>
      </c>
    </row>
    <row r="6" spans="1:5">
      <c r="A6" s="33" t="s">
        <v>35</v>
      </c>
      <c r="B6" s="7">
        <v>32631.580000000005</v>
      </c>
      <c r="E6" s="41">
        <f>D6/B6</f>
        <v>0</v>
      </c>
    </row>
    <row r="7" spans="1:5">
      <c r="A7" s="33" t="s">
        <v>42</v>
      </c>
      <c r="B7" s="7">
        <v>30983.46</v>
      </c>
      <c r="E7" s="41">
        <f>D7/B7</f>
        <v>0</v>
      </c>
    </row>
    <row r="8" spans="1:5">
      <c r="A8" s="33" t="s">
        <v>461</v>
      </c>
      <c r="B8" s="7">
        <v>553.16</v>
      </c>
      <c r="E8" s="41">
        <f>D8/B8</f>
        <v>0</v>
      </c>
    </row>
    <row r="9" spans="1:5">
      <c r="A9" s="33" t="s">
        <v>731</v>
      </c>
      <c r="B9" s="7">
        <v>131404.66999999998</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Q7" sqref="Q7"/>
    </sheetView>
  </sheetViews>
  <sheetFormatPr defaultRowHeight="15"/>
  <cols>
    <col min="1" max="1" width="13.140625" bestFit="1" customWidth="1"/>
    <col min="2" max="2" width="15.5703125" bestFit="1" customWidth="1"/>
  </cols>
  <sheetData>
    <row r="3" spans="1:2">
      <c r="A3" s="31" t="s">
        <v>732</v>
      </c>
      <c r="B3" t="s">
        <v>733</v>
      </c>
    </row>
    <row r="4" spans="1:2">
      <c r="A4" s="33" t="s">
        <v>30</v>
      </c>
      <c r="B4" s="7">
        <v>37909.910000000003</v>
      </c>
    </row>
    <row r="5" spans="1:2">
      <c r="A5" s="33" t="s">
        <v>17</v>
      </c>
      <c r="B5" s="7">
        <v>33865.090000000004</v>
      </c>
    </row>
    <row r="6" spans="1:2">
      <c r="A6" s="33" t="s">
        <v>23</v>
      </c>
      <c r="B6" s="7">
        <v>31616.589999999997</v>
      </c>
    </row>
    <row r="7" spans="1:2">
      <c r="A7" s="33" t="s">
        <v>36</v>
      </c>
      <c r="B7" s="7">
        <v>27984.06</v>
      </c>
    </row>
    <row r="8" spans="1:2">
      <c r="A8" s="33" t="s">
        <v>731</v>
      </c>
      <c r="B8" s="7">
        <v>131375.65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0"/>
  <sheetViews>
    <sheetView workbookViewId="0">
      <selection activeCell="G11" sqref="G11"/>
    </sheetView>
  </sheetViews>
  <sheetFormatPr defaultRowHeight="15"/>
  <cols>
    <col min="1" max="1" width="13.140625" bestFit="1" customWidth="1"/>
    <col min="2" max="2" width="17.28515625" bestFit="1" customWidth="1"/>
    <col min="3" max="3" width="15.5703125" bestFit="1" customWidth="1"/>
    <col min="4" max="4" width="12.5703125" bestFit="1" customWidth="1"/>
    <col min="5" max="5" width="12.28515625" customWidth="1"/>
    <col min="8" max="8" width="13.85546875" customWidth="1"/>
  </cols>
  <sheetData>
    <row r="3" spans="1:8">
      <c r="A3" s="31" t="s">
        <v>732</v>
      </c>
      <c r="B3" t="s">
        <v>734</v>
      </c>
      <c r="C3" t="s">
        <v>733</v>
      </c>
      <c r="D3" t="s">
        <v>749</v>
      </c>
      <c r="E3" t="s">
        <v>750</v>
      </c>
      <c r="G3" t="s">
        <v>8</v>
      </c>
      <c r="H3" t="s">
        <v>762</v>
      </c>
    </row>
    <row r="4" spans="1:8">
      <c r="A4" s="33">
        <v>0</v>
      </c>
      <c r="B4" s="7">
        <v>168</v>
      </c>
      <c r="C4" s="7">
        <v>46531.63</v>
      </c>
      <c r="D4" s="7">
        <v>13508.17</v>
      </c>
      <c r="E4" s="40">
        <f t="shared" ref="E4:E9" si="0">D4/B4</f>
        <v>80.405773809523808</v>
      </c>
      <c r="G4" s="42">
        <v>0</v>
      </c>
      <c r="H4" s="41">
        <v>0.80410000000000004</v>
      </c>
    </row>
    <row r="5" spans="1:8">
      <c r="A5" s="33">
        <v>0.05</v>
      </c>
      <c r="B5" s="7">
        <v>100</v>
      </c>
      <c r="C5" s="7">
        <v>25255.110000000004</v>
      </c>
      <c r="D5" s="7">
        <v>7702.6600000000017</v>
      </c>
      <c r="E5" s="40">
        <f t="shared" si="0"/>
        <v>77.026600000000016</v>
      </c>
      <c r="G5" s="42">
        <v>0.05</v>
      </c>
      <c r="H5" s="41">
        <v>0.77029999999999998</v>
      </c>
    </row>
    <row r="6" spans="1:8">
      <c r="A6" s="33">
        <v>0.1</v>
      </c>
      <c r="B6" s="7">
        <v>123</v>
      </c>
      <c r="C6" s="7">
        <v>32864.310000000005</v>
      </c>
      <c r="D6" s="7">
        <v>9316.2700000000023</v>
      </c>
      <c r="E6" s="40">
        <f t="shared" si="0"/>
        <v>75.742032520325225</v>
      </c>
      <c r="G6" s="42">
        <v>0.1</v>
      </c>
      <c r="H6" s="41">
        <v>0.75739999999999996</v>
      </c>
    </row>
    <row r="7" spans="1:8">
      <c r="A7" s="33">
        <v>0.15</v>
      </c>
      <c r="B7" s="7">
        <v>75</v>
      </c>
      <c r="C7" s="7">
        <v>18769.09</v>
      </c>
      <c r="D7" s="7">
        <v>5538.8</v>
      </c>
      <c r="E7" s="40">
        <f t="shared" si="0"/>
        <v>73.850666666666669</v>
      </c>
      <c r="G7" s="42">
        <v>0.15</v>
      </c>
      <c r="H7" s="41">
        <v>0.73850000000000005</v>
      </c>
    </row>
    <row r="8" spans="1:8">
      <c r="A8" s="33">
        <v>0.2</v>
      </c>
      <c r="B8" s="7">
        <v>32</v>
      </c>
      <c r="C8" s="7">
        <v>7568.8799999999992</v>
      </c>
      <c r="D8" s="7">
        <v>2270.14</v>
      </c>
      <c r="E8" s="40">
        <f t="shared" si="0"/>
        <v>70.941874999999996</v>
      </c>
      <c r="G8" s="42">
        <v>0.2</v>
      </c>
      <c r="H8" s="41">
        <v>0.70940000000000003</v>
      </c>
    </row>
    <row r="9" spans="1:8">
      <c r="A9" s="33">
        <v>1.25</v>
      </c>
      <c r="B9" s="7">
        <v>1</v>
      </c>
      <c r="C9" s="7">
        <v>415.65</v>
      </c>
      <c r="D9" s="7">
        <v>122.97</v>
      </c>
      <c r="E9" s="40">
        <f t="shared" si="0"/>
        <v>122.97</v>
      </c>
    </row>
    <row r="10" spans="1:8">
      <c r="A10" s="33" t="s">
        <v>731</v>
      </c>
      <c r="B10" s="7">
        <v>499</v>
      </c>
      <c r="C10" s="7">
        <v>131404.67000000007</v>
      </c>
      <c r="D10" s="7">
        <v>38459.010000000024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7"/>
  <sheetViews>
    <sheetView workbookViewId="0">
      <selection activeCell="E3" sqref="E3:E6"/>
    </sheetView>
  </sheetViews>
  <sheetFormatPr defaultRowHeight="15"/>
  <cols>
    <col min="1" max="1" width="13.140625" bestFit="1" customWidth="1"/>
    <col min="2" max="2" width="17.28515625" bestFit="1" customWidth="1"/>
    <col min="3" max="4" width="12.5703125" bestFit="1" customWidth="1"/>
  </cols>
  <sheetData>
    <row r="3" spans="1:7">
      <c r="A3" s="31" t="s">
        <v>732</v>
      </c>
      <c r="B3" t="s">
        <v>734</v>
      </c>
      <c r="E3" t="s">
        <v>750</v>
      </c>
    </row>
    <row r="4" spans="1:7">
      <c r="A4" s="33" t="s">
        <v>31</v>
      </c>
      <c r="B4" s="7">
        <v>99</v>
      </c>
      <c r="E4" s="40">
        <f>D4/B4</f>
        <v>0</v>
      </c>
      <c r="G4" s="41"/>
    </row>
    <row r="5" spans="1:7">
      <c r="A5" s="33" t="s">
        <v>18</v>
      </c>
      <c r="B5" s="7">
        <v>302</v>
      </c>
      <c r="E5" s="40">
        <f>D5/B5</f>
        <v>0</v>
      </c>
    </row>
    <row r="6" spans="1:7">
      <c r="A6" s="33" t="s">
        <v>24</v>
      </c>
      <c r="B6" s="7">
        <v>98</v>
      </c>
      <c r="E6" s="40">
        <f>D6/B6</f>
        <v>0</v>
      </c>
    </row>
    <row r="7" spans="1:7">
      <c r="A7" s="33" t="s">
        <v>731</v>
      </c>
      <c r="B7" s="7">
        <v>499</v>
      </c>
    </row>
  </sheetData>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68"/>
  <sheetViews>
    <sheetView workbookViewId="0">
      <selection activeCell="E4" sqref="E4"/>
    </sheetView>
  </sheetViews>
  <sheetFormatPr defaultRowHeight="15"/>
  <cols>
    <col min="1" max="1" width="13.140625" bestFit="1" customWidth="1"/>
    <col min="2" max="2" width="17.28515625" bestFit="1" customWidth="1"/>
    <col min="3" max="3" width="15.5703125" bestFit="1" customWidth="1"/>
    <col min="4" max="4" width="12.5703125" bestFit="1" customWidth="1"/>
  </cols>
  <sheetData>
    <row r="3" spans="1:5">
      <c r="A3" s="31" t="s">
        <v>732</v>
      </c>
      <c r="B3" t="s">
        <v>734</v>
      </c>
      <c r="C3" t="s">
        <v>733</v>
      </c>
      <c r="D3" t="s">
        <v>749</v>
      </c>
    </row>
    <row r="4" spans="1:5">
      <c r="A4" s="33" t="s">
        <v>20</v>
      </c>
      <c r="B4" s="7">
        <v>7</v>
      </c>
      <c r="C4" s="7">
        <v>3149.69</v>
      </c>
      <c r="D4" s="7">
        <v>1128.6199999999999</v>
      </c>
      <c r="E4" s="40">
        <f>C4/B4</f>
        <v>449.95571428571429</v>
      </c>
    </row>
    <row r="5" spans="1:5">
      <c r="A5" s="33" t="s">
        <v>135</v>
      </c>
      <c r="B5" s="7">
        <v>7</v>
      </c>
      <c r="C5" s="7">
        <v>2967.2400000000002</v>
      </c>
      <c r="D5" s="7">
        <v>932.24</v>
      </c>
      <c r="E5" s="40">
        <f t="shared" ref="E5:E45" si="0">C5/B5</f>
        <v>423.89142857142861</v>
      </c>
    </row>
    <row r="6" spans="1:5">
      <c r="A6" s="33" t="s">
        <v>33</v>
      </c>
      <c r="B6" s="7">
        <v>10</v>
      </c>
      <c r="C6" s="7">
        <v>3054.34</v>
      </c>
      <c r="D6" s="7">
        <v>896.98</v>
      </c>
      <c r="E6" s="40">
        <f t="shared" si="0"/>
        <v>305.43400000000003</v>
      </c>
    </row>
    <row r="7" spans="1:5">
      <c r="A7" s="33" t="s">
        <v>180</v>
      </c>
      <c r="B7" s="7">
        <v>5</v>
      </c>
      <c r="C7" s="7">
        <v>2246</v>
      </c>
      <c r="D7" s="7">
        <v>718.3900000000001</v>
      </c>
      <c r="E7" s="40">
        <f t="shared" si="0"/>
        <v>449.2</v>
      </c>
    </row>
    <row r="8" spans="1:5">
      <c r="A8" s="33" t="s">
        <v>112</v>
      </c>
      <c r="B8" s="7">
        <v>5</v>
      </c>
      <c r="C8" s="7">
        <v>1978.3000000000002</v>
      </c>
      <c r="D8" s="7">
        <v>641.29999999999995</v>
      </c>
      <c r="E8" s="40">
        <f t="shared" si="0"/>
        <v>395.66</v>
      </c>
    </row>
    <row r="9" spans="1:5">
      <c r="A9" s="33" t="s">
        <v>102</v>
      </c>
      <c r="B9" s="7">
        <v>4</v>
      </c>
      <c r="C9" s="7">
        <v>2174.8200000000002</v>
      </c>
      <c r="D9" s="7">
        <v>613.81999999999994</v>
      </c>
      <c r="E9" s="40">
        <f t="shared" si="0"/>
        <v>543.70500000000004</v>
      </c>
    </row>
    <row r="10" spans="1:5">
      <c r="A10" s="33" t="s">
        <v>355</v>
      </c>
      <c r="B10" s="7">
        <v>6</v>
      </c>
      <c r="C10" s="7">
        <v>1878.0900000000001</v>
      </c>
      <c r="D10" s="7">
        <v>596.93000000000006</v>
      </c>
      <c r="E10" s="40">
        <f t="shared" si="0"/>
        <v>313.01500000000004</v>
      </c>
    </row>
    <row r="11" spans="1:5">
      <c r="A11" s="33" t="s">
        <v>154</v>
      </c>
      <c r="B11" s="7">
        <v>4</v>
      </c>
      <c r="C11" s="7">
        <v>2063.0299999999997</v>
      </c>
      <c r="D11" s="7">
        <v>585.76</v>
      </c>
      <c r="E11" s="40">
        <f t="shared" si="0"/>
        <v>515.75749999999994</v>
      </c>
    </row>
    <row r="12" spans="1:5">
      <c r="A12" s="33" t="s">
        <v>72</v>
      </c>
      <c r="B12" s="7">
        <v>4</v>
      </c>
      <c r="C12" s="7">
        <v>1619.97</v>
      </c>
      <c r="D12" s="7">
        <v>562.75</v>
      </c>
      <c r="E12" s="40">
        <f t="shared" si="0"/>
        <v>404.99250000000001</v>
      </c>
    </row>
    <row r="13" spans="1:5">
      <c r="A13" s="33" t="s">
        <v>164</v>
      </c>
      <c r="B13" s="7">
        <v>7</v>
      </c>
      <c r="C13" s="7">
        <v>1809.58</v>
      </c>
      <c r="D13" s="7">
        <v>562.51</v>
      </c>
      <c r="E13" s="40">
        <f t="shared" si="0"/>
        <v>258.51142857142855</v>
      </c>
    </row>
    <row r="14" spans="1:5">
      <c r="A14" s="33" t="s">
        <v>38</v>
      </c>
      <c r="B14" s="7">
        <v>7</v>
      </c>
      <c r="C14" s="7">
        <v>1605.32</v>
      </c>
      <c r="D14" s="7">
        <v>550.76</v>
      </c>
      <c r="E14" s="40">
        <f t="shared" si="0"/>
        <v>229.33142857142857</v>
      </c>
    </row>
    <row r="15" spans="1:5">
      <c r="A15" s="33" t="s">
        <v>114</v>
      </c>
      <c r="B15" s="7">
        <v>5</v>
      </c>
      <c r="C15" s="7">
        <v>1617.21</v>
      </c>
      <c r="D15" s="7">
        <v>543.28</v>
      </c>
      <c r="E15" s="40">
        <f t="shared" si="0"/>
        <v>323.44200000000001</v>
      </c>
    </row>
    <row r="16" spans="1:5">
      <c r="A16" s="33" t="s">
        <v>131</v>
      </c>
      <c r="B16" s="7">
        <v>5</v>
      </c>
      <c r="C16" s="7">
        <v>1886.56</v>
      </c>
      <c r="D16" s="7">
        <v>533.51</v>
      </c>
      <c r="E16" s="40">
        <f t="shared" si="0"/>
        <v>377.31200000000001</v>
      </c>
    </row>
    <row r="17" spans="1:5">
      <c r="A17" s="33" t="s">
        <v>287</v>
      </c>
      <c r="B17" s="7">
        <v>4</v>
      </c>
      <c r="C17" s="7">
        <v>1434.4299999999998</v>
      </c>
      <c r="D17" s="7">
        <v>531.83999999999992</v>
      </c>
      <c r="E17" s="40">
        <f t="shared" si="0"/>
        <v>358.60749999999996</v>
      </c>
    </row>
    <row r="18" spans="1:5">
      <c r="A18" s="33" t="s">
        <v>147</v>
      </c>
      <c r="B18" s="7">
        <v>6</v>
      </c>
      <c r="C18" s="7">
        <v>2032.52</v>
      </c>
      <c r="D18" s="7">
        <v>524.38</v>
      </c>
      <c r="E18" s="40">
        <f t="shared" si="0"/>
        <v>338.75333333333333</v>
      </c>
    </row>
    <row r="19" spans="1:5">
      <c r="A19" s="33" t="s">
        <v>303</v>
      </c>
      <c r="B19" s="7">
        <v>5</v>
      </c>
      <c r="C19" s="7">
        <v>1867.98</v>
      </c>
      <c r="D19" s="7">
        <v>521.1099999999999</v>
      </c>
      <c r="E19" s="40">
        <f t="shared" si="0"/>
        <v>373.596</v>
      </c>
    </row>
    <row r="20" spans="1:5">
      <c r="A20" s="33" t="s">
        <v>120</v>
      </c>
      <c r="B20" s="7">
        <v>6</v>
      </c>
      <c r="C20" s="7">
        <v>1982.3000000000002</v>
      </c>
      <c r="D20" s="7">
        <v>494.11</v>
      </c>
      <c r="E20" s="40">
        <f t="shared" si="0"/>
        <v>330.38333333333338</v>
      </c>
    </row>
    <row r="21" spans="1:5">
      <c r="A21" s="33" t="s">
        <v>397</v>
      </c>
      <c r="B21" s="7">
        <v>4</v>
      </c>
      <c r="C21" s="7">
        <v>1380</v>
      </c>
      <c r="D21" s="7">
        <v>485.77</v>
      </c>
      <c r="E21" s="40">
        <f t="shared" si="0"/>
        <v>345</v>
      </c>
    </row>
    <row r="22" spans="1:5">
      <c r="A22" s="33" t="s">
        <v>55</v>
      </c>
      <c r="B22" s="7">
        <v>5</v>
      </c>
      <c r="C22" s="7">
        <v>1793.8400000000001</v>
      </c>
      <c r="D22" s="7">
        <v>482.83</v>
      </c>
      <c r="E22" s="40">
        <f t="shared" si="0"/>
        <v>358.76800000000003</v>
      </c>
    </row>
    <row r="23" spans="1:5">
      <c r="A23" s="33" t="s">
        <v>282</v>
      </c>
      <c r="B23" s="7">
        <v>5</v>
      </c>
      <c r="C23" s="7">
        <v>1599.9499999999998</v>
      </c>
      <c r="D23" s="7">
        <v>482.61</v>
      </c>
      <c r="E23" s="40">
        <f t="shared" si="0"/>
        <v>319.98999999999995</v>
      </c>
    </row>
    <row r="24" spans="1:5">
      <c r="A24" s="33" t="s">
        <v>65</v>
      </c>
      <c r="B24" s="7">
        <v>6</v>
      </c>
      <c r="C24" s="7">
        <v>1600.4</v>
      </c>
      <c r="D24" s="7">
        <v>476.44</v>
      </c>
      <c r="E24" s="40">
        <f t="shared" si="0"/>
        <v>266.73333333333335</v>
      </c>
    </row>
    <row r="25" spans="1:5">
      <c r="A25" s="33" t="s">
        <v>63</v>
      </c>
      <c r="B25" s="7">
        <v>6</v>
      </c>
      <c r="C25" s="7">
        <v>1702.51</v>
      </c>
      <c r="D25" s="7">
        <v>474.33000000000004</v>
      </c>
      <c r="E25" s="40">
        <f t="shared" si="0"/>
        <v>283.75166666666667</v>
      </c>
    </row>
    <row r="26" spans="1:5">
      <c r="A26" s="33" t="s">
        <v>60</v>
      </c>
      <c r="B26" s="7">
        <v>6</v>
      </c>
      <c r="C26" s="7">
        <v>1527.6799999999998</v>
      </c>
      <c r="D26" s="7">
        <v>472.78999999999996</v>
      </c>
      <c r="E26" s="40">
        <f t="shared" si="0"/>
        <v>254.61333333333332</v>
      </c>
    </row>
    <row r="27" spans="1:5">
      <c r="A27" s="33" t="s">
        <v>116</v>
      </c>
      <c r="B27" s="7">
        <v>4</v>
      </c>
      <c r="C27" s="7">
        <v>1604.6000000000001</v>
      </c>
      <c r="D27" s="7">
        <v>457.96000000000004</v>
      </c>
      <c r="E27" s="40">
        <f t="shared" si="0"/>
        <v>401.15000000000003</v>
      </c>
    </row>
    <row r="28" spans="1:5">
      <c r="A28" s="33" t="s">
        <v>297</v>
      </c>
      <c r="B28" s="7">
        <v>5</v>
      </c>
      <c r="C28" s="7">
        <v>1244.01</v>
      </c>
      <c r="D28" s="7">
        <v>422.67000000000007</v>
      </c>
      <c r="E28" s="40">
        <f t="shared" si="0"/>
        <v>248.80199999999999</v>
      </c>
    </row>
    <row r="29" spans="1:5">
      <c r="A29" s="33" t="s">
        <v>174</v>
      </c>
      <c r="B29" s="7">
        <v>5</v>
      </c>
      <c r="C29" s="7">
        <v>1481.73</v>
      </c>
      <c r="D29" s="7">
        <v>417.78</v>
      </c>
      <c r="E29" s="40">
        <f t="shared" si="0"/>
        <v>296.346</v>
      </c>
    </row>
    <row r="30" spans="1:5">
      <c r="A30" s="33" t="s">
        <v>170</v>
      </c>
      <c r="B30" s="7">
        <v>4</v>
      </c>
      <c r="C30" s="7">
        <v>1719.17</v>
      </c>
      <c r="D30" s="7">
        <v>407.96000000000004</v>
      </c>
      <c r="E30" s="40">
        <f t="shared" si="0"/>
        <v>429.79250000000002</v>
      </c>
    </row>
    <row r="31" spans="1:5">
      <c r="A31" s="33" t="s">
        <v>331</v>
      </c>
      <c r="B31" s="7">
        <v>2</v>
      </c>
      <c r="C31" s="7">
        <v>1451.78</v>
      </c>
      <c r="D31" s="7">
        <v>402.90999999999997</v>
      </c>
      <c r="E31" s="40">
        <f t="shared" si="0"/>
        <v>725.89</v>
      </c>
    </row>
    <row r="32" spans="1:5">
      <c r="A32" s="33" t="s">
        <v>150</v>
      </c>
      <c r="B32" s="7">
        <v>5</v>
      </c>
      <c r="C32" s="7">
        <v>1152.71</v>
      </c>
      <c r="D32" s="7">
        <v>394.73</v>
      </c>
      <c r="E32" s="40">
        <f t="shared" si="0"/>
        <v>230.542</v>
      </c>
    </row>
    <row r="33" spans="1:5">
      <c r="A33" s="33" t="s">
        <v>50</v>
      </c>
      <c r="B33" s="7">
        <v>5</v>
      </c>
      <c r="C33" s="7">
        <v>1594.98</v>
      </c>
      <c r="D33" s="7">
        <v>391.40999999999997</v>
      </c>
      <c r="E33" s="40">
        <f t="shared" si="0"/>
        <v>318.99599999999998</v>
      </c>
    </row>
    <row r="34" spans="1:5">
      <c r="A34" s="33" t="s">
        <v>480</v>
      </c>
      <c r="B34" s="7">
        <v>4</v>
      </c>
      <c r="C34" s="7">
        <v>1162.76</v>
      </c>
      <c r="D34" s="7">
        <v>385.93</v>
      </c>
      <c r="E34" s="40">
        <f t="shared" si="0"/>
        <v>290.69</v>
      </c>
    </row>
    <row r="35" spans="1:5">
      <c r="A35" s="33" t="s">
        <v>321</v>
      </c>
      <c r="B35" s="7">
        <v>4</v>
      </c>
      <c r="C35" s="7">
        <v>1173.6100000000001</v>
      </c>
      <c r="D35" s="7">
        <v>385.4</v>
      </c>
      <c r="E35" s="40">
        <f t="shared" si="0"/>
        <v>293.40250000000003</v>
      </c>
    </row>
    <row r="36" spans="1:5">
      <c r="A36" s="33" t="s">
        <v>204</v>
      </c>
      <c r="B36" s="7">
        <v>4</v>
      </c>
      <c r="C36" s="7">
        <v>1447.3700000000001</v>
      </c>
      <c r="D36" s="7">
        <v>372.38</v>
      </c>
      <c r="E36" s="40">
        <f t="shared" si="0"/>
        <v>361.84250000000003</v>
      </c>
    </row>
    <row r="37" spans="1:5">
      <c r="A37" s="33" t="s">
        <v>100</v>
      </c>
      <c r="B37" s="7">
        <v>3</v>
      </c>
      <c r="C37" s="7">
        <v>1282.4299999999998</v>
      </c>
      <c r="D37" s="7">
        <v>364.40000000000003</v>
      </c>
      <c r="E37" s="40">
        <f t="shared" si="0"/>
        <v>427.47666666666663</v>
      </c>
    </row>
    <row r="38" spans="1:5">
      <c r="A38" s="33" t="s">
        <v>98</v>
      </c>
      <c r="B38" s="7">
        <v>4</v>
      </c>
      <c r="C38" s="7">
        <v>875</v>
      </c>
      <c r="D38" s="7">
        <v>358.32000000000005</v>
      </c>
      <c r="E38" s="40">
        <f t="shared" si="0"/>
        <v>218.75</v>
      </c>
    </row>
    <row r="39" spans="1:5">
      <c r="A39" s="33" t="s">
        <v>206</v>
      </c>
      <c r="B39" s="7">
        <v>3</v>
      </c>
      <c r="C39" s="7">
        <v>1026.8800000000001</v>
      </c>
      <c r="D39" s="7">
        <v>348.11</v>
      </c>
      <c r="E39" s="40">
        <f t="shared" si="0"/>
        <v>342.29333333333335</v>
      </c>
    </row>
    <row r="40" spans="1:5">
      <c r="A40" s="33" t="s">
        <v>118</v>
      </c>
      <c r="B40" s="7">
        <v>3</v>
      </c>
      <c r="C40" s="7">
        <v>849.7</v>
      </c>
      <c r="D40" s="7">
        <v>345.15</v>
      </c>
      <c r="E40" s="40">
        <f t="shared" si="0"/>
        <v>283.23333333333335</v>
      </c>
    </row>
    <row r="41" spans="1:5">
      <c r="A41" s="33" t="s">
        <v>76</v>
      </c>
      <c r="B41" s="7">
        <v>5</v>
      </c>
      <c r="C41" s="7">
        <v>1112.02</v>
      </c>
      <c r="D41" s="7">
        <v>345.03999999999996</v>
      </c>
      <c r="E41" s="40">
        <f t="shared" si="0"/>
        <v>222.404</v>
      </c>
    </row>
    <row r="42" spans="1:5">
      <c r="A42" s="33" t="s">
        <v>220</v>
      </c>
      <c r="B42" s="7">
        <v>3</v>
      </c>
      <c r="C42" s="7">
        <v>933.25</v>
      </c>
      <c r="D42" s="7">
        <v>344.11</v>
      </c>
      <c r="E42" s="40">
        <f t="shared" si="0"/>
        <v>311.08333333333331</v>
      </c>
    </row>
    <row r="43" spans="1:5">
      <c r="A43" s="33" t="s">
        <v>172</v>
      </c>
      <c r="B43" s="7">
        <v>5</v>
      </c>
      <c r="C43" s="7">
        <v>1155.1799999999998</v>
      </c>
      <c r="D43" s="7">
        <v>342.45000000000005</v>
      </c>
      <c r="E43" s="40">
        <f t="shared" si="0"/>
        <v>231.03599999999997</v>
      </c>
    </row>
    <row r="44" spans="1:5">
      <c r="A44" s="33" t="s">
        <v>127</v>
      </c>
      <c r="B44" s="7">
        <v>3</v>
      </c>
      <c r="C44" s="7">
        <v>1115.45</v>
      </c>
      <c r="D44" s="7">
        <v>326.5</v>
      </c>
      <c r="E44" s="40">
        <f t="shared" si="0"/>
        <v>371.81666666666666</v>
      </c>
    </row>
    <row r="45" spans="1:5">
      <c r="A45" s="33" t="s">
        <v>444</v>
      </c>
      <c r="B45" s="7">
        <v>4</v>
      </c>
      <c r="C45" s="7">
        <v>881.28</v>
      </c>
      <c r="D45" s="7">
        <v>319.10000000000002</v>
      </c>
      <c r="E45" s="40">
        <f t="shared" si="0"/>
        <v>220.32</v>
      </c>
    </row>
    <row r="46" spans="1:5">
      <c r="A46" s="33" t="s">
        <v>208</v>
      </c>
      <c r="B46" s="7">
        <v>3</v>
      </c>
      <c r="C46" s="7">
        <v>1079.8499999999999</v>
      </c>
      <c r="D46" s="7">
        <v>318.56</v>
      </c>
    </row>
    <row r="47" spans="1:5">
      <c r="A47" s="33" t="s">
        <v>312</v>
      </c>
      <c r="B47" s="7">
        <v>4</v>
      </c>
      <c r="C47" s="7">
        <v>936.95999999999992</v>
      </c>
      <c r="D47" s="7">
        <v>318.52</v>
      </c>
    </row>
    <row r="48" spans="1:5">
      <c r="A48" s="33" t="s">
        <v>157</v>
      </c>
      <c r="B48" s="7">
        <v>4</v>
      </c>
      <c r="C48" s="7">
        <v>962.03</v>
      </c>
      <c r="D48" s="7">
        <v>306.14</v>
      </c>
    </row>
    <row r="49" spans="1:4">
      <c r="A49" s="33" t="s">
        <v>271</v>
      </c>
      <c r="B49" s="7">
        <v>2</v>
      </c>
      <c r="C49" s="7">
        <v>741.83</v>
      </c>
      <c r="D49" s="7">
        <v>303.60000000000002</v>
      </c>
    </row>
    <row r="50" spans="1:4">
      <c r="A50" s="33" t="s">
        <v>278</v>
      </c>
      <c r="B50" s="7">
        <v>4</v>
      </c>
      <c r="C50" s="7">
        <v>1292.1199999999999</v>
      </c>
      <c r="D50" s="7">
        <v>300.70000000000005</v>
      </c>
    </row>
    <row r="51" spans="1:4">
      <c r="A51" s="33" t="s">
        <v>194</v>
      </c>
      <c r="B51" s="7">
        <v>3</v>
      </c>
      <c r="C51" s="7">
        <v>810.97</v>
      </c>
      <c r="D51" s="7">
        <v>296.58</v>
      </c>
    </row>
    <row r="52" spans="1:4">
      <c r="A52" s="33" t="s">
        <v>474</v>
      </c>
      <c r="B52" s="7">
        <v>3</v>
      </c>
      <c r="C52" s="7">
        <v>1027.51</v>
      </c>
      <c r="D52" s="7">
        <v>293.98</v>
      </c>
    </row>
    <row r="53" spans="1:4">
      <c r="A53" s="33" t="s">
        <v>275</v>
      </c>
      <c r="B53" s="7">
        <v>3</v>
      </c>
      <c r="C53" s="7">
        <v>1112.97</v>
      </c>
      <c r="D53" s="7">
        <v>293.91000000000003</v>
      </c>
    </row>
    <row r="54" spans="1:4">
      <c r="A54" s="33" t="s">
        <v>202</v>
      </c>
      <c r="B54" s="7">
        <v>3</v>
      </c>
      <c r="C54" s="7">
        <v>754.18</v>
      </c>
      <c r="D54" s="7">
        <v>285.27999999999997</v>
      </c>
    </row>
    <row r="55" spans="1:4">
      <c r="A55" s="33" t="s">
        <v>314</v>
      </c>
      <c r="B55" s="7">
        <v>4</v>
      </c>
      <c r="C55" s="7">
        <v>1009.8499999999999</v>
      </c>
      <c r="D55" s="7">
        <v>281.22000000000003</v>
      </c>
    </row>
    <row r="56" spans="1:4">
      <c r="A56" s="33" t="s">
        <v>379</v>
      </c>
      <c r="B56" s="7">
        <v>5</v>
      </c>
      <c r="C56" s="7">
        <v>1082.6400000000001</v>
      </c>
      <c r="D56" s="7">
        <v>276.45999999999998</v>
      </c>
    </row>
    <row r="57" spans="1:4">
      <c r="A57" s="33" t="s">
        <v>161</v>
      </c>
      <c r="B57" s="7">
        <v>3</v>
      </c>
      <c r="C57" s="7">
        <v>728.1</v>
      </c>
      <c r="D57" s="7">
        <v>265.49</v>
      </c>
    </row>
    <row r="58" spans="1:4">
      <c r="A58" s="33" t="s">
        <v>280</v>
      </c>
      <c r="B58" s="7">
        <v>4</v>
      </c>
      <c r="C58" s="7">
        <v>944.92</v>
      </c>
      <c r="D58" s="7">
        <v>263.54000000000002</v>
      </c>
    </row>
    <row r="59" spans="1:4">
      <c r="A59" s="33" t="s">
        <v>268</v>
      </c>
      <c r="B59" s="7">
        <v>3</v>
      </c>
      <c r="C59" s="7">
        <v>1136.01</v>
      </c>
      <c r="D59" s="7">
        <v>262.89999999999998</v>
      </c>
    </row>
    <row r="60" spans="1:4">
      <c r="A60" s="33" t="s">
        <v>92</v>
      </c>
      <c r="B60" s="7">
        <v>3</v>
      </c>
      <c r="C60" s="7">
        <v>927.1</v>
      </c>
      <c r="D60" s="7">
        <v>250.63</v>
      </c>
    </row>
    <row r="61" spans="1:4">
      <c r="A61" s="33" t="s">
        <v>52</v>
      </c>
      <c r="B61" s="7">
        <v>6</v>
      </c>
      <c r="C61" s="7">
        <v>857.6400000000001</v>
      </c>
      <c r="D61" s="7">
        <v>247.42999999999998</v>
      </c>
    </row>
    <row r="62" spans="1:4">
      <c r="A62" s="33" t="s">
        <v>74</v>
      </c>
      <c r="B62" s="7">
        <v>2</v>
      </c>
      <c r="C62" s="7">
        <v>724.77</v>
      </c>
      <c r="D62" s="7">
        <v>246.66000000000003</v>
      </c>
    </row>
    <row r="63" spans="1:4">
      <c r="A63" s="33" t="s">
        <v>166</v>
      </c>
      <c r="B63" s="7">
        <v>3</v>
      </c>
      <c r="C63" s="7">
        <v>818.30000000000007</v>
      </c>
      <c r="D63" s="7">
        <v>239.66000000000003</v>
      </c>
    </row>
    <row r="64" spans="1:4">
      <c r="A64" s="33" t="s">
        <v>647</v>
      </c>
      <c r="B64" s="7">
        <v>2</v>
      </c>
      <c r="C64" s="7">
        <v>646.20000000000005</v>
      </c>
      <c r="D64" s="7">
        <v>238.95999999999998</v>
      </c>
    </row>
    <row r="65" spans="1:4">
      <c r="A65" s="33" t="s">
        <v>218</v>
      </c>
      <c r="B65" s="7">
        <v>4</v>
      </c>
      <c r="C65" s="7">
        <v>592.98</v>
      </c>
      <c r="D65" s="7">
        <v>236.57999999999998</v>
      </c>
    </row>
    <row r="66" spans="1:4">
      <c r="A66" s="33" t="s">
        <v>427</v>
      </c>
      <c r="B66" s="7">
        <v>2</v>
      </c>
      <c r="C66" s="7">
        <v>792.06000000000006</v>
      </c>
      <c r="D66" s="7">
        <v>235.41</v>
      </c>
    </row>
    <row r="67" spans="1:4">
      <c r="A67" s="33" t="s">
        <v>79</v>
      </c>
      <c r="B67" s="7">
        <v>4</v>
      </c>
      <c r="C67" s="7">
        <v>1200.02</v>
      </c>
      <c r="D67" s="7">
        <v>234.68</v>
      </c>
    </row>
    <row r="68" spans="1:4">
      <c r="A68" s="33" t="s">
        <v>90</v>
      </c>
      <c r="B68" s="7">
        <v>4</v>
      </c>
      <c r="C68" s="7">
        <v>923.69</v>
      </c>
      <c r="D68" s="7">
        <v>233.80999999999997</v>
      </c>
    </row>
    <row r="69" spans="1:4">
      <c r="A69" s="33" t="s">
        <v>253</v>
      </c>
      <c r="B69" s="7">
        <v>3</v>
      </c>
      <c r="C69" s="7">
        <v>1115.3800000000001</v>
      </c>
      <c r="D69" s="7">
        <v>232.79</v>
      </c>
    </row>
    <row r="70" spans="1:4">
      <c r="A70" s="33" t="s">
        <v>385</v>
      </c>
      <c r="B70" s="7">
        <v>2</v>
      </c>
      <c r="C70" s="7">
        <v>748.65000000000009</v>
      </c>
      <c r="D70" s="7">
        <v>230.84</v>
      </c>
    </row>
    <row r="71" spans="1:4">
      <c r="A71" s="33" t="s">
        <v>138</v>
      </c>
      <c r="B71" s="7">
        <v>4</v>
      </c>
      <c r="C71" s="7">
        <v>1044.6300000000001</v>
      </c>
      <c r="D71" s="7">
        <v>228.76999999999998</v>
      </c>
    </row>
    <row r="72" spans="1:4">
      <c r="A72" s="33" t="s">
        <v>352</v>
      </c>
      <c r="B72" s="7">
        <v>2</v>
      </c>
      <c r="C72" s="7">
        <v>895.15</v>
      </c>
      <c r="D72" s="7">
        <v>227.03</v>
      </c>
    </row>
    <row r="73" spans="1:4">
      <c r="A73" s="33" t="s">
        <v>359</v>
      </c>
      <c r="B73" s="7">
        <v>5</v>
      </c>
      <c r="C73" s="7">
        <v>848.94</v>
      </c>
      <c r="D73" s="7">
        <v>224.24</v>
      </c>
    </row>
    <row r="74" spans="1:4">
      <c r="A74" s="33" t="s">
        <v>214</v>
      </c>
      <c r="B74" s="7">
        <v>2</v>
      </c>
      <c r="C74" s="7">
        <v>624.34</v>
      </c>
      <c r="D74" s="7">
        <v>217.45999999999998</v>
      </c>
    </row>
    <row r="75" spans="1:4">
      <c r="A75" s="33" t="s">
        <v>40</v>
      </c>
      <c r="B75" s="7">
        <v>4</v>
      </c>
      <c r="C75" s="7">
        <v>781.09999999999991</v>
      </c>
      <c r="D75" s="7">
        <v>216.73</v>
      </c>
    </row>
    <row r="76" spans="1:4">
      <c r="A76" s="33" t="s">
        <v>432</v>
      </c>
      <c r="B76" s="7">
        <v>3</v>
      </c>
      <c r="C76" s="7">
        <v>729</v>
      </c>
      <c r="D76" s="7">
        <v>213.99</v>
      </c>
    </row>
    <row r="77" spans="1:4">
      <c r="A77" s="33" t="s">
        <v>294</v>
      </c>
      <c r="B77" s="7">
        <v>2</v>
      </c>
      <c r="C77" s="7">
        <v>694.75</v>
      </c>
      <c r="D77" s="7">
        <v>213.03</v>
      </c>
    </row>
    <row r="78" spans="1:4">
      <c r="A78" s="33" t="s">
        <v>419</v>
      </c>
      <c r="B78" s="7">
        <v>2</v>
      </c>
      <c r="C78" s="7">
        <v>655.96</v>
      </c>
      <c r="D78" s="7">
        <v>208.22</v>
      </c>
    </row>
    <row r="79" spans="1:4">
      <c r="A79" s="33" t="s">
        <v>94</v>
      </c>
      <c r="B79" s="7">
        <v>3</v>
      </c>
      <c r="C79" s="7">
        <v>805.92000000000007</v>
      </c>
      <c r="D79" s="7">
        <v>206.09</v>
      </c>
    </row>
    <row r="80" spans="1:4">
      <c r="A80" s="33" t="s">
        <v>259</v>
      </c>
      <c r="B80" s="7">
        <v>3</v>
      </c>
      <c r="C80" s="7">
        <v>1035.71</v>
      </c>
      <c r="D80" s="7">
        <v>205.09999999999997</v>
      </c>
    </row>
    <row r="81" spans="1:4">
      <c r="A81" s="33" t="s">
        <v>187</v>
      </c>
      <c r="B81" s="7">
        <v>3</v>
      </c>
      <c r="C81" s="7">
        <v>850.12</v>
      </c>
      <c r="D81" s="7">
        <v>201.65</v>
      </c>
    </row>
    <row r="82" spans="1:4">
      <c r="A82" s="33" t="s">
        <v>285</v>
      </c>
      <c r="B82" s="7">
        <v>4</v>
      </c>
      <c r="C82" s="7">
        <v>891.06</v>
      </c>
      <c r="D82" s="7">
        <v>200.47000000000003</v>
      </c>
    </row>
    <row r="83" spans="1:4">
      <c r="A83" s="33" t="s">
        <v>518</v>
      </c>
      <c r="B83" s="7">
        <v>1</v>
      </c>
      <c r="C83" s="7">
        <v>760.5</v>
      </c>
      <c r="D83" s="7">
        <v>199.99</v>
      </c>
    </row>
    <row r="84" spans="1:4">
      <c r="A84" s="33" t="s">
        <v>109</v>
      </c>
      <c r="B84" s="7">
        <v>4</v>
      </c>
      <c r="C84" s="7">
        <v>793.5</v>
      </c>
      <c r="D84" s="7">
        <v>196.6</v>
      </c>
    </row>
    <row r="85" spans="1:4">
      <c r="A85" s="33" t="s">
        <v>472</v>
      </c>
      <c r="B85" s="7">
        <v>3</v>
      </c>
      <c r="C85" s="7">
        <v>677.89999999999986</v>
      </c>
      <c r="D85" s="7">
        <v>194</v>
      </c>
    </row>
    <row r="86" spans="1:4">
      <c r="A86" s="33" t="s">
        <v>191</v>
      </c>
      <c r="B86" s="7">
        <v>5</v>
      </c>
      <c r="C86" s="7">
        <v>519.78</v>
      </c>
      <c r="D86" s="7">
        <v>193.74</v>
      </c>
    </row>
    <row r="87" spans="1:4">
      <c r="A87" s="33" t="s">
        <v>145</v>
      </c>
      <c r="B87" s="7">
        <v>2</v>
      </c>
      <c r="C87" s="7">
        <v>768.28</v>
      </c>
      <c r="D87" s="7">
        <v>186.89999999999998</v>
      </c>
    </row>
    <row r="88" spans="1:4">
      <c r="A88" s="33" t="s">
        <v>234</v>
      </c>
      <c r="B88" s="7">
        <v>3</v>
      </c>
      <c r="C88" s="7">
        <v>640.72</v>
      </c>
      <c r="D88" s="7">
        <v>186.86</v>
      </c>
    </row>
    <row r="89" spans="1:4">
      <c r="A89" s="33" t="s">
        <v>342</v>
      </c>
      <c r="B89" s="7">
        <v>3</v>
      </c>
      <c r="C89" s="7">
        <v>569.94000000000005</v>
      </c>
      <c r="D89" s="7">
        <v>186.6</v>
      </c>
    </row>
    <row r="90" spans="1:4">
      <c r="A90" s="33" t="s">
        <v>44</v>
      </c>
      <c r="B90" s="7">
        <v>2</v>
      </c>
      <c r="C90" s="7">
        <v>655.52</v>
      </c>
      <c r="D90" s="7">
        <v>184.54999999999998</v>
      </c>
    </row>
    <row r="91" spans="1:4">
      <c r="A91" s="33" t="s">
        <v>414</v>
      </c>
      <c r="B91" s="7">
        <v>3</v>
      </c>
      <c r="C91" s="7">
        <v>616.46</v>
      </c>
      <c r="D91" s="7">
        <v>182.59</v>
      </c>
    </row>
    <row r="92" spans="1:4">
      <c r="A92" s="33" t="s">
        <v>152</v>
      </c>
      <c r="B92" s="7">
        <v>3</v>
      </c>
      <c r="C92" s="7">
        <v>661.17000000000007</v>
      </c>
      <c r="D92" s="7">
        <v>176.22</v>
      </c>
    </row>
    <row r="93" spans="1:4">
      <c r="A93" s="33" t="s">
        <v>454</v>
      </c>
      <c r="B93" s="7">
        <v>4</v>
      </c>
      <c r="C93" s="7">
        <v>872.82999999999993</v>
      </c>
      <c r="D93" s="7">
        <v>175.16</v>
      </c>
    </row>
    <row r="94" spans="1:4">
      <c r="A94" s="33" t="s">
        <v>168</v>
      </c>
      <c r="B94" s="7">
        <v>4</v>
      </c>
      <c r="C94" s="7">
        <v>546.64</v>
      </c>
      <c r="D94" s="7">
        <v>172.67</v>
      </c>
    </row>
    <row r="95" spans="1:4">
      <c r="A95" s="33" t="s">
        <v>245</v>
      </c>
      <c r="B95" s="7">
        <v>2</v>
      </c>
      <c r="C95" s="7">
        <v>620.79</v>
      </c>
      <c r="D95" s="7">
        <v>169.5</v>
      </c>
    </row>
    <row r="96" spans="1:4">
      <c r="A96" s="33" t="s">
        <v>377</v>
      </c>
      <c r="B96" s="7">
        <v>5</v>
      </c>
      <c r="C96" s="7">
        <v>514.39</v>
      </c>
      <c r="D96" s="7">
        <v>169.39000000000001</v>
      </c>
    </row>
    <row r="97" spans="1:4">
      <c r="A97" s="33" t="s">
        <v>125</v>
      </c>
      <c r="B97" s="7">
        <v>2</v>
      </c>
      <c r="C97" s="7">
        <v>621.64</v>
      </c>
      <c r="D97" s="7">
        <v>167.48999999999998</v>
      </c>
    </row>
    <row r="98" spans="1:4">
      <c r="A98" s="33" t="s">
        <v>85</v>
      </c>
      <c r="B98" s="7">
        <v>3</v>
      </c>
      <c r="C98" s="7">
        <v>644.4</v>
      </c>
      <c r="D98" s="7">
        <v>167.26</v>
      </c>
    </row>
    <row r="99" spans="1:4">
      <c r="A99" s="33" t="s">
        <v>242</v>
      </c>
      <c r="B99" s="7">
        <v>3</v>
      </c>
      <c r="C99" s="7">
        <v>809.52</v>
      </c>
      <c r="D99" s="7">
        <v>166.39</v>
      </c>
    </row>
    <row r="100" spans="1:4">
      <c r="A100" s="33" t="s">
        <v>104</v>
      </c>
      <c r="B100" s="7">
        <v>3</v>
      </c>
      <c r="C100" s="7">
        <v>581.84</v>
      </c>
      <c r="D100" s="7">
        <v>153.22</v>
      </c>
    </row>
    <row r="101" spans="1:4">
      <c r="A101" s="33" t="s">
        <v>448</v>
      </c>
      <c r="B101" s="7">
        <v>3</v>
      </c>
      <c r="C101" s="7">
        <v>382.35</v>
      </c>
      <c r="D101" s="7">
        <v>149.5</v>
      </c>
    </row>
    <row r="102" spans="1:4">
      <c r="A102" s="33" t="s">
        <v>47</v>
      </c>
      <c r="B102" s="7">
        <v>3</v>
      </c>
      <c r="C102" s="7">
        <v>599.91000000000008</v>
      </c>
      <c r="D102" s="7">
        <v>147.88</v>
      </c>
    </row>
    <row r="103" spans="1:4">
      <c r="A103" s="33" t="s">
        <v>14</v>
      </c>
      <c r="B103" s="7">
        <v>4</v>
      </c>
      <c r="C103" s="7">
        <v>489.09</v>
      </c>
      <c r="D103" s="7">
        <v>144.73000000000002</v>
      </c>
    </row>
    <row r="104" spans="1:4">
      <c r="A104" s="33" t="s">
        <v>307</v>
      </c>
      <c r="B104" s="7">
        <v>2</v>
      </c>
      <c r="C104" s="7">
        <v>390.59000000000003</v>
      </c>
      <c r="D104" s="7">
        <v>134.09</v>
      </c>
    </row>
    <row r="105" spans="1:4">
      <c r="A105" s="33" t="s">
        <v>159</v>
      </c>
      <c r="B105" s="7">
        <v>2</v>
      </c>
      <c r="C105" s="7">
        <v>419.86</v>
      </c>
      <c r="D105" s="7">
        <v>130.91</v>
      </c>
    </row>
    <row r="106" spans="1:4">
      <c r="A106" s="33" t="s">
        <v>240</v>
      </c>
      <c r="B106" s="7">
        <v>3</v>
      </c>
      <c r="C106" s="7">
        <v>548.91</v>
      </c>
      <c r="D106" s="7">
        <v>130.82999999999998</v>
      </c>
    </row>
    <row r="107" spans="1:4">
      <c r="A107" s="33" t="s">
        <v>527</v>
      </c>
      <c r="B107" s="7">
        <v>2</v>
      </c>
      <c r="C107" s="7">
        <v>356.76</v>
      </c>
      <c r="D107" s="7">
        <v>129.72</v>
      </c>
    </row>
    <row r="108" spans="1:4">
      <c r="A108" s="33" t="s">
        <v>182</v>
      </c>
      <c r="B108" s="7">
        <v>2</v>
      </c>
      <c r="C108" s="7">
        <v>385.49</v>
      </c>
      <c r="D108" s="7">
        <v>129.29</v>
      </c>
    </row>
    <row r="109" spans="1:4">
      <c r="A109" s="33" t="s">
        <v>176</v>
      </c>
      <c r="B109" s="7">
        <v>2</v>
      </c>
      <c r="C109" s="7">
        <v>366.74</v>
      </c>
      <c r="D109" s="7">
        <v>128.49</v>
      </c>
    </row>
    <row r="110" spans="1:4">
      <c r="A110" s="33" t="s">
        <v>273</v>
      </c>
      <c r="B110" s="7">
        <v>3</v>
      </c>
      <c r="C110" s="7">
        <v>428.15</v>
      </c>
      <c r="D110" s="7">
        <v>126.76</v>
      </c>
    </row>
    <row r="111" spans="1:4">
      <c r="A111" s="33" t="s">
        <v>96</v>
      </c>
      <c r="B111" s="7">
        <v>1</v>
      </c>
      <c r="C111" s="7">
        <v>389.81</v>
      </c>
      <c r="D111" s="7">
        <v>124.62</v>
      </c>
    </row>
    <row r="112" spans="1:4">
      <c r="A112" s="33" t="s">
        <v>256</v>
      </c>
      <c r="B112" s="7">
        <v>1</v>
      </c>
      <c r="C112" s="7">
        <v>374.68</v>
      </c>
      <c r="D112" s="7">
        <v>123.05</v>
      </c>
    </row>
    <row r="113" spans="1:4">
      <c r="A113" s="33" t="s">
        <v>335</v>
      </c>
      <c r="B113" s="7">
        <v>1</v>
      </c>
      <c r="C113" s="7">
        <v>357.3</v>
      </c>
      <c r="D113" s="7">
        <v>122.29</v>
      </c>
    </row>
    <row r="114" spans="1:4">
      <c r="A114" s="33" t="s">
        <v>400</v>
      </c>
      <c r="B114" s="7">
        <v>1</v>
      </c>
      <c r="C114" s="7">
        <v>315.24</v>
      </c>
      <c r="D114" s="7">
        <v>121.83</v>
      </c>
    </row>
    <row r="115" spans="1:4">
      <c r="A115" s="33" t="s">
        <v>395</v>
      </c>
      <c r="B115" s="7">
        <v>2</v>
      </c>
      <c r="C115" s="7">
        <v>456.67</v>
      </c>
      <c r="D115" s="7">
        <v>119.8</v>
      </c>
    </row>
    <row r="116" spans="1:4">
      <c r="A116" s="33" t="s">
        <v>581</v>
      </c>
      <c r="B116" s="7">
        <v>1</v>
      </c>
      <c r="C116" s="7">
        <v>305.69</v>
      </c>
      <c r="D116" s="7">
        <v>118.81</v>
      </c>
    </row>
    <row r="117" spans="1:4">
      <c r="A117" s="33" t="s">
        <v>540</v>
      </c>
      <c r="B117" s="7">
        <v>2</v>
      </c>
      <c r="C117" s="7">
        <v>438.76</v>
      </c>
      <c r="D117" s="7">
        <v>115.33000000000001</v>
      </c>
    </row>
    <row r="118" spans="1:4">
      <c r="A118" s="33" t="s">
        <v>189</v>
      </c>
      <c r="B118" s="7">
        <v>2</v>
      </c>
      <c r="C118" s="7">
        <v>517.04999999999995</v>
      </c>
      <c r="D118" s="7">
        <v>114.91</v>
      </c>
    </row>
    <row r="119" spans="1:4">
      <c r="A119" s="33" t="s">
        <v>224</v>
      </c>
      <c r="B119" s="7">
        <v>4</v>
      </c>
      <c r="C119" s="7">
        <v>385.77</v>
      </c>
      <c r="D119" s="7">
        <v>110.86</v>
      </c>
    </row>
    <row r="120" spans="1:4">
      <c r="A120" s="33" t="s">
        <v>232</v>
      </c>
      <c r="B120" s="7">
        <v>3</v>
      </c>
      <c r="C120" s="7">
        <v>411.13</v>
      </c>
      <c r="D120" s="7">
        <v>110.00999999999999</v>
      </c>
    </row>
    <row r="121" spans="1:4">
      <c r="A121" s="33" t="s">
        <v>371</v>
      </c>
      <c r="B121" s="7">
        <v>2</v>
      </c>
      <c r="C121" s="7">
        <v>383.61</v>
      </c>
      <c r="D121" s="7">
        <v>107.32000000000001</v>
      </c>
    </row>
    <row r="122" spans="1:4">
      <c r="A122" s="33" t="s">
        <v>185</v>
      </c>
      <c r="B122" s="7">
        <v>2</v>
      </c>
      <c r="C122" s="7">
        <v>370.79999999999995</v>
      </c>
      <c r="D122" s="7">
        <v>105.75999999999999</v>
      </c>
    </row>
    <row r="123" spans="1:4">
      <c r="A123" s="33" t="s">
        <v>266</v>
      </c>
      <c r="B123" s="7">
        <v>4</v>
      </c>
      <c r="C123" s="7">
        <v>530.53</v>
      </c>
      <c r="D123" s="7">
        <v>103.16</v>
      </c>
    </row>
    <row r="124" spans="1:4">
      <c r="A124" s="33" t="s">
        <v>143</v>
      </c>
      <c r="B124" s="7">
        <v>1</v>
      </c>
      <c r="C124" s="7">
        <v>672.48</v>
      </c>
      <c r="D124" s="7">
        <v>101.69</v>
      </c>
    </row>
    <row r="125" spans="1:4">
      <c r="A125" s="33" t="s">
        <v>484</v>
      </c>
      <c r="B125" s="7">
        <v>2</v>
      </c>
      <c r="C125" s="7">
        <v>284.76</v>
      </c>
      <c r="D125" s="7">
        <v>99.59</v>
      </c>
    </row>
    <row r="126" spans="1:4">
      <c r="A126" s="33" t="s">
        <v>476</v>
      </c>
      <c r="B126" s="7">
        <v>2</v>
      </c>
      <c r="C126" s="7">
        <v>325.55</v>
      </c>
      <c r="D126" s="7">
        <v>95.42</v>
      </c>
    </row>
    <row r="127" spans="1:4">
      <c r="A127" s="33" t="s">
        <v>367</v>
      </c>
      <c r="B127" s="7">
        <v>2</v>
      </c>
      <c r="C127" s="7">
        <v>236.81</v>
      </c>
      <c r="D127" s="7">
        <v>84.32</v>
      </c>
    </row>
    <row r="128" spans="1:4">
      <c r="A128" s="33" t="s">
        <v>196</v>
      </c>
      <c r="B128" s="7">
        <v>3</v>
      </c>
      <c r="C128" s="7">
        <v>376.5</v>
      </c>
      <c r="D128" s="7">
        <v>80.429999999999993</v>
      </c>
    </row>
    <row r="129" spans="1:4">
      <c r="A129" s="33" t="s">
        <v>329</v>
      </c>
      <c r="B129" s="7">
        <v>2</v>
      </c>
      <c r="C129" s="7">
        <v>304.13</v>
      </c>
      <c r="D129" s="7">
        <v>80.27000000000001</v>
      </c>
    </row>
    <row r="130" spans="1:4">
      <c r="A130" s="33" t="s">
        <v>83</v>
      </c>
      <c r="B130" s="7">
        <v>3</v>
      </c>
      <c r="C130" s="7">
        <v>377.18</v>
      </c>
      <c r="D130" s="7">
        <v>80.06</v>
      </c>
    </row>
    <row r="131" spans="1:4">
      <c r="A131" s="33" t="s">
        <v>237</v>
      </c>
      <c r="B131" s="7">
        <v>2</v>
      </c>
      <c r="C131" s="7">
        <v>381.23</v>
      </c>
      <c r="D131" s="7">
        <v>79.790000000000006</v>
      </c>
    </row>
    <row r="132" spans="1:4">
      <c r="A132" s="33" t="s">
        <v>347</v>
      </c>
      <c r="B132" s="7">
        <v>2</v>
      </c>
      <c r="C132" s="7">
        <v>275.70999999999998</v>
      </c>
      <c r="D132" s="7">
        <v>78.72</v>
      </c>
    </row>
    <row r="133" spans="1:4">
      <c r="A133" s="33" t="s">
        <v>600</v>
      </c>
      <c r="B133" s="7">
        <v>1</v>
      </c>
      <c r="C133" s="7">
        <v>288.66000000000003</v>
      </c>
      <c r="D133" s="7">
        <v>76.09</v>
      </c>
    </row>
    <row r="134" spans="1:4">
      <c r="A134" s="33" t="s">
        <v>390</v>
      </c>
      <c r="B134" s="7">
        <v>2</v>
      </c>
      <c r="C134" s="7">
        <v>302.5</v>
      </c>
      <c r="D134" s="7">
        <v>71.7</v>
      </c>
    </row>
    <row r="135" spans="1:4">
      <c r="A135" s="33" t="s">
        <v>122</v>
      </c>
      <c r="B135" s="7">
        <v>2</v>
      </c>
      <c r="C135" s="7">
        <v>242.72000000000003</v>
      </c>
      <c r="D135" s="7">
        <v>71.02</v>
      </c>
    </row>
    <row r="136" spans="1:4">
      <c r="A136" s="33" t="s">
        <v>579</v>
      </c>
      <c r="B136" s="7">
        <v>1</v>
      </c>
      <c r="C136" s="7">
        <v>163.53</v>
      </c>
      <c r="D136" s="7">
        <v>66.53</v>
      </c>
    </row>
    <row r="137" spans="1:4">
      <c r="A137" s="33" t="s">
        <v>467</v>
      </c>
      <c r="B137" s="7">
        <v>2</v>
      </c>
      <c r="C137" s="7">
        <v>353.57</v>
      </c>
      <c r="D137" s="7">
        <v>66.45</v>
      </c>
    </row>
    <row r="138" spans="1:4">
      <c r="A138" s="33" t="s">
        <v>227</v>
      </c>
      <c r="B138" s="7">
        <v>1</v>
      </c>
      <c r="C138" s="7">
        <v>378.72</v>
      </c>
      <c r="D138" s="7">
        <v>65.61</v>
      </c>
    </row>
    <row r="139" spans="1:4">
      <c r="A139" s="33" t="s">
        <v>618</v>
      </c>
      <c r="B139" s="7">
        <v>1</v>
      </c>
      <c r="C139" s="7">
        <v>278.64</v>
      </c>
      <c r="D139" s="7">
        <v>59.62</v>
      </c>
    </row>
    <row r="140" spans="1:4">
      <c r="A140" s="33" t="s">
        <v>509</v>
      </c>
      <c r="B140" s="7">
        <v>1</v>
      </c>
      <c r="C140" s="7">
        <v>235.38</v>
      </c>
      <c r="D140" s="7">
        <v>58.11</v>
      </c>
    </row>
    <row r="141" spans="1:4">
      <c r="A141" s="33" t="s">
        <v>607</v>
      </c>
      <c r="B141" s="7">
        <v>1</v>
      </c>
      <c r="C141" s="7">
        <v>331.2</v>
      </c>
      <c r="D141" s="7">
        <v>57.08</v>
      </c>
    </row>
    <row r="142" spans="1:4">
      <c r="A142" s="33" t="s">
        <v>28</v>
      </c>
      <c r="B142" s="7">
        <v>1</v>
      </c>
      <c r="C142" s="7">
        <v>177.07</v>
      </c>
      <c r="D142" s="7">
        <v>54.89</v>
      </c>
    </row>
    <row r="143" spans="1:4">
      <c r="A143" s="33" t="s">
        <v>26</v>
      </c>
      <c r="B143" s="7">
        <v>2</v>
      </c>
      <c r="C143" s="7">
        <v>242.5</v>
      </c>
      <c r="D143" s="7">
        <v>52.99</v>
      </c>
    </row>
    <row r="144" spans="1:4">
      <c r="A144" s="33" t="s">
        <v>289</v>
      </c>
      <c r="B144" s="7">
        <v>2</v>
      </c>
      <c r="C144" s="7">
        <v>235.64</v>
      </c>
      <c r="D144" s="7">
        <v>51.370000000000005</v>
      </c>
    </row>
    <row r="145" spans="1:4">
      <c r="A145" s="33" t="s">
        <v>107</v>
      </c>
      <c r="B145" s="7">
        <v>2</v>
      </c>
      <c r="C145" s="7">
        <v>217.81</v>
      </c>
      <c r="D145" s="7">
        <v>50.44</v>
      </c>
    </row>
    <row r="146" spans="1:4">
      <c r="A146" s="33" t="s">
        <v>417</v>
      </c>
      <c r="B146" s="7">
        <v>1</v>
      </c>
      <c r="C146" s="7">
        <v>112.81</v>
      </c>
      <c r="D146" s="7">
        <v>49.34</v>
      </c>
    </row>
    <row r="147" spans="1:4">
      <c r="A147" s="33" t="s">
        <v>58</v>
      </c>
      <c r="B147" s="7">
        <v>1</v>
      </c>
      <c r="C147" s="7">
        <v>132.13999999999999</v>
      </c>
      <c r="D147" s="7">
        <v>49.31</v>
      </c>
    </row>
    <row r="148" spans="1:4">
      <c r="A148" s="33" t="s">
        <v>500</v>
      </c>
      <c r="B148" s="7">
        <v>2</v>
      </c>
      <c r="C148" s="7">
        <v>167.4</v>
      </c>
      <c r="D148" s="7">
        <v>40.79</v>
      </c>
    </row>
    <row r="149" spans="1:4">
      <c r="A149" s="33" t="s">
        <v>575</v>
      </c>
      <c r="B149" s="7">
        <v>1</v>
      </c>
      <c r="C149" s="7">
        <v>143.46</v>
      </c>
      <c r="D149" s="7">
        <v>40.28</v>
      </c>
    </row>
    <row r="150" spans="1:4">
      <c r="A150" s="33" t="s">
        <v>67</v>
      </c>
      <c r="B150" s="7">
        <v>2</v>
      </c>
      <c r="C150" s="7">
        <v>201.78</v>
      </c>
      <c r="D150" s="7">
        <v>40.25</v>
      </c>
    </row>
    <row r="151" spans="1:4">
      <c r="A151" s="33" t="s">
        <v>691</v>
      </c>
      <c r="B151" s="7">
        <v>1</v>
      </c>
      <c r="C151" s="7">
        <v>124.85</v>
      </c>
      <c r="D151" s="7">
        <v>38.65</v>
      </c>
    </row>
    <row r="152" spans="1:4">
      <c r="A152" s="33" t="s">
        <v>698</v>
      </c>
      <c r="B152" s="7">
        <v>1</v>
      </c>
      <c r="C152" s="7">
        <v>224.12</v>
      </c>
      <c r="D152" s="7">
        <v>38.380000000000003</v>
      </c>
    </row>
    <row r="153" spans="1:4">
      <c r="A153" s="33" t="s">
        <v>685</v>
      </c>
      <c r="B153" s="7">
        <v>1</v>
      </c>
      <c r="C153" s="7">
        <v>87.18</v>
      </c>
      <c r="D153" s="7">
        <v>34.39</v>
      </c>
    </row>
    <row r="154" spans="1:4">
      <c r="A154" s="33" t="s">
        <v>383</v>
      </c>
      <c r="B154" s="7">
        <v>2</v>
      </c>
      <c r="C154" s="7">
        <v>86.6</v>
      </c>
      <c r="D154" s="7">
        <v>33.18</v>
      </c>
    </row>
    <row r="155" spans="1:4">
      <c r="A155" s="33" t="s">
        <v>425</v>
      </c>
      <c r="B155" s="7">
        <v>2</v>
      </c>
      <c r="C155" s="7">
        <v>162.87</v>
      </c>
      <c r="D155" s="7">
        <v>31.93</v>
      </c>
    </row>
    <row r="156" spans="1:4">
      <c r="A156" s="33" t="s">
        <v>81</v>
      </c>
      <c r="B156" s="7">
        <v>3</v>
      </c>
      <c r="C156" s="7">
        <v>112.77000000000001</v>
      </c>
      <c r="D156" s="7">
        <v>31.91</v>
      </c>
    </row>
    <row r="157" spans="1:4">
      <c r="A157" s="33" t="s">
        <v>141</v>
      </c>
      <c r="B157" s="7">
        <v>1</v>
      </c>
      <c r="C157" s="7">
        <v>106.96</v>
      </c>
      <c r="D157" s="7">
        <v>30.36</v>
      </c>
    </row>
    <row r="158" spans="1:4">
      <c r="A158" s="33" t="s">
        <v>629</v>
      </c>
      <c r="B158" s="7">
        <v>1</v>
      </c>
      <c r="C158" s="7">
        <v>140.15</v>
      </c>
      <c r="D158" s="7">
        <v>27.84</v>
      </c>
    </row>
    <row r="159" spans="1:4">
      <c r="A159" s="33" t="s">
        <v>682</v>
      </c>
      <c r="B159" s="7">
        <v>2</v>
      </c>
      <c r="C159" s="7">
        <v>80.13</v>
      </c>
      <c r="D159" s="7">
        <v>22.939999999999998</v>
      </c>
    </row>
    <row r="160" spans="1:4">
      <c r="A160" s="33" t="s">
        <v>333</v>
      </c>
      <c r="B160" s="7">
        <v>1</v>
      </c>
      <c r="C160" s="7">
        <v>75.099999999999994</v>
      </c>
      <c r="D160" s="7">
        <v>22.83</v>
      </c>
    </row>
    <row r="161" spans="1:4">
      <c r="A161" s="33" t="s">
        <v>535</v>
      </c>
      <c r="B161" s="7">
        <v>1</v>
      </c>
      <c r="C161" s="7">
        <v>45.72</v>
      </c>
      <c r="D161" s="7">
        <v>17.63</v>
      </c>
    </row>
    <row r="162" spans="1:4">
      <c r="A162" s="33" t="s">
        <v>69</v>
      </c>
      <c r="B162" s="7">
        <v>2</v>
      </c>
      <c r="C162" s="7">
        <v>51.33</v>
      </c>
      <c r="D162" s="7">
        <v>13.05</v>
      </c>
    </row>
    <row r="163" spans="1:4">
      <c r="A163" s="33" t="s">
        <v>210</v>
      </c>
      <c r="B163" s="7">
        <v>1</v>
      </c>
      <c r="C163" s="7">
        <v>42.35</v>
      </c>
      <c r="D163" s="7">
        <v>13.05</v>
      </c>
    </row>
    <row r="164" spans="1:4">
      <c r="A164" s="33" t="s">
        <v>248</v>
      </c>
      <c r="B164" s="7">
        <v>1</v>
      </c>
      <c r="C164" s="7">
        <v>20.48</v>
      </c>
      <c r="D164" s="7">
        <v>7.94</v>
      </c>
    </row>
    <row r="165" spans="1:4">
      <c r="A165" s="33" t="s">
        <v>337</v>
      </c>
      <c r="B165" s="7">
        <v>1</v>
      </c>
      <c r="C165" s="7">
        <v>27.57</v>
      </c>
      <c r="D165" s="7">
        <v>4.8899999999999997</v>
      </c>
    </row>
    <row r="166" spans="1:4">
      <c r="A166" s="33" t="s">
        <v>757</v>
      </c>
      <c r="B166" s="7">
        <v>1</v>
      </c>
      <c r="C166" s="7">
        <v>26.1</v>
      </c>
      <c r="D166" s="7">
        <v>4.13</v>
      </c>
    </row>
    <row r="167" spans="1:4">
      <c r="A167" s="33" t="s">
        <v>375</v>
      </c>
      <c r="B167" s="7">
        <v>1</v>
      </c>
      <c r="C167" s="7">
        <v>10.72</v>
      </c>
      <c r="D167" s="7">
        <v>2.19</v>
      </c>
    </row>
    <row r="168" spans="1:4">
      <c r="A168" s="33" t="s">
        <v>731</v>
      </c>
      <c r="B168" s="7">
        <v>499</v>
      </c>
      <c r="C168" s="7">
        <v>131404.66999999995</v>
      </c>
      <c r="D168" s="7">
        <v>38459.01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0"/>
  <sheetViews>
    <sheetView workbookViewId="0">
      <selection activeCell="B4" sqref="B4"/>
    </sheetView>
  </sheetViews>
  <sheetFormatPr defaultRowHeight="15"/>
  <cols>
    <col min="1" max="1" width="15.28515625" bestFit="1" customWidth="1"/>
    <col min="2" max="2" width="15.5703125" bestFit="1" customWidth="1"/>
  </cols>
  <sheetData>
    <row r="3" spans="1:2">
      <c r="A3" s="31" t="s">
        <v>732</v>
      </c>
      <c r="B3" t="s">
        <v>733</v>
      </c>
    </row>
    <row r="4" spans="1:2">
      <c r="A4" s="33" t="s">
        <v>88</v>
      </c>
      <c r="B4" s="7">
        <v>11205.220000000001</v>
      </c>
    </row>
    <row r="5" spans="1:2">
      <c r="A5" s="33" t="s">
        <v>41</v>
      </c>
      <c r="B5" s="7">
        <v>10565.42</v>
      </c>
    </row>
    <row r="6" spans="1:2">
      <c r="A6" s="33" t="s">
        <v>29</v>
      </c>
      <c r="B6" s="7">
        <v>10459.34</v>
      </c>
    </row>
    <row r="7" spans="1:2">
      <c r="A7" s="33" t="s">
        <v>21</v>
      </c>
      <c r="B7" s="7">
        <v>10241.470000000001</v>
      </c>
    </row>
    <row r="8" spans="1:2">
      <c r="A8" s="33" t="s">
        <v>110</v>
      </c>
      <c r="B8" s="7">
        <v>9920.64</v>
      </c>
    </row>
    <row r="9" spans="1:2">
      <c r="A9" s="33" t="s">
        <v>139</v>
      </c>
      <c r="B9" s="7">
        <v>8640.41</v>
      </c>
    </row>
    <row r="10" spans="1:2">
      <c r="A10" s="33" t="s">
        <v>70</v>
      </c>
      <c r="B10" s="7">
        <v>8621.32</v>
      </c>
    </row>
    <row r="11" spans="1:2">
      <c r="A11" s="33" t="s">
        <v>15</v>
      </c>
      <c r="B11" s="7">
        <v>7977.4599999999991</v>
      </c>
    </row>
    <row r="12" spans="1:2">
      <c r="A12" s="33" t="s">
        <v>53</v>
      </c>
      <c r="B12" s="7">
        <v>7457.14</v>
      </c>
    </row>
    <row r="13" spans="1:2">
      <c r="A13" s="33" t="s">
        <v>61</v>
      </c>
      <c r="B13" s="7">
        <v>7318.5100000000011</v>
      </c>
    </row>
    <row r="14" spans="1:2">
      <c r="A14" s="33" t="s">
        <v>77</v>
      </c>
      <c r="B14" s="7">
        <v>7263.4400000000005</v>
      </c>
    </row>
    <row r="15" spans="1:2">
      <c r="A15" s="33" t="s">
        <v>34</v>
      </c>
      <c r="B15" s="7">
        <v>7233.0300000000007</v>
      </c>
    </row>
    <row r="16" spans="1:2">
      <c r="A16" s="33" t="s">
        <v>48</v>
      </c>
      <c r="B16" s="7">
        <v>6493.97</v>
      </c>
    </row>
    <row r="17" spans="1:2">
      <c r="A17" s="33" t="s">
        <v>56</v>
      </c>
      <c r="B17" s="7">
        <v>6450.8099999999986</v>
      </c>
    </row>
    <row r="18" spans="1:2">
      <c r="A18" s="33" t="s">
        <v>45</v>
      </c>
      <c r="B18" s="7">
        <v>5914.1</v>
      </c>
    </row>
    <row r="19" spans="1:2">
      <c r="A19" s="33" t="s">
        <v>105</v>
      </c>
      <c r="B19" s="7">
        <v>5642.3899999999994</v>
      </c>
    </row>
    <row r="20" spans="1:2">
      <c r="A20" s="33" t="s">
        <v>731</v>
      </c>
      <c r="B20" s="7">
        <v>131404.66999999998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
  <sheetViews>
    <sheetView zoomScale="73" zoomScaleNormal="73" workbookViewId="0">
      <selection activeCell="L19" sqref="L19"/>
    </sheetView>
  </sheetViews>
  <sheetFormatPr defaultRowHeight="15"/>
  <cols>
    <col min="2" max="2" width="20" customWidth="1"/>
    <col min="4" max="4" width="19.140625" customWidth="1"/>
    <col min="6" max="6" width="17.28515625" customWidth="1"/>
    <col min="10" max="10" width="17.28515625" customWidth="1"/>
    <col min="12" max="12" width="20" customWidth="1"/>
  </cols>
  <sheetData>
    <row r="1" spans="2:12" ht="36" customHeight="1">
      <c r="B1" s="52" t="s">
        <v>763</v>
      </c>
      <c r="C1" s="53"/>
      <c r="D1" s="53"/>
      <c r="E1" s="53"/>
      <c r="F1" s="53"/>
      <c r="G1" s="53"/>
      <c r="H1" s="53"/>
      <c r="I1" s="53"/>
      <c r="J1" s="53"/>
      <c r="K1" s="53"/>
      <c r="L1" s="53"/>
    </row>
    <row r="2" spans="2:12">
      <c r="B2" s="44" t="s">
        <v>758</v>
      </c>
      <c r="C2" s="44"/>
      <c r="D2" s="44" t="s">
        <v>759</v>
      </c>
      <c r="E2" s="44"/>
      <c r="F2" s="44" t="s">
        <v>760</v>
      </c>
      <c r="G2" s="44"/>
      <c r="H2" s="44" t="s">
        <v>730</v>
      </c>
      <c r="I2" s="44"/>
      <c r="J2" s="44" t="s">
        <v>761</v>
      </c>
      <c r="K2" s="44"/>
      <c r="L2" s="44" t="s">
        <v>762</v>
      </c>
    </row>
    <row r="3" spans="2:12">
      <c r="B3" s="47">
        <f>SUM(Cleaned_Data!J2:J500)</f>
        <v>131404.67000000004</v>
      </c>
      <c r="C3" s="45"/>
      <c r="D3" s="45">
        <f>COUNTA(Cleaned_Data!A2:A500)</f>
        <v>499</v>
      </c>
      <c r="E3" s="45"/>
      <c r="F3" s="45">
        <f>SUM(Cleaned_Data!G2:G500)</f>
        <v>1501</v>
      </c>
      <c r="G3" s="45"/>
      <c r="H3" s="47">
        <f>B3/D3</f>
        <v>263.33601202404816</v>
      </c>
      <c r="I3" s="45"/>
      <c r="J3" s="47">
        <f>SUM(Cleaned_Data!L2:L500)</f>
        <v>38459.01</v>
      </c>
      <c r="K3" s="45"/>
      <c r="L3" s="46">
        <f>J3/B3</f>
        <v>0.29267612787277641</v>
      </c>
    </row>
  </sheetData>
  <mergeCells count="1">
    <mergeCell ref="B1:L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Raw_Data</vt:lpstr>
      <vt:lpstr>Field_Guide</vt:lpstr>
      <vt:lpstr>Cleaned_Data</vt:lpstr>
      <vt:lpstr>Sheet10</vt:lpstr>
      <vt:lpstr>month</vt:lpstr>
      <vt:lpstr>Category</vt:lpstr>
      <vt:lpstr>Region</vt:lpstr>
      <vt:lpstr>Discount</vt:lpstr>
      <vt:lpstr>order status</vt:lpstr>
      <vt:lpstr>Customer id</vt:lpstr>
      <vt:lpstr>products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edVedica</cp:lastModifiedBy>
  <dcterms:created xsi:type="dcterms:W3CDTF">2026-09-26T03:43:44Z</dcterms:created>
  <dcterms:modified xsi:type="dcterms:W3CDTF">2026-10-26T11:26:08Z</dcterms:modified>
</cp:coreProperties>
</file>